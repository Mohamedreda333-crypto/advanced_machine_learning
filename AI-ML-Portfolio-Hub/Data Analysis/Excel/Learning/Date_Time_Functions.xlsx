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machine learning\Excel\"/>
    </mc:Choice>
  </mc:AlternateContent>
  <xr:revisionPtr revIDLastSave="0" documentId="8_{CA68BCC0-561B-45B2-83C3-0A7FD2AB7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Sheet1" sheetId="16" r:id="rId2"/>
    <sheet name="Date" sheetId="14" r:id="rId3"/>
    <sheet name="Time" sheetId="15" r:id="rId4"/>
  </sheets>
  <definedNames>
    <definedName name="_xlnm._FilterDatabase" localSheetId="3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I27" i="8"/>
  <c r="I26" i="8"/>
  <c r="I25" i="8"/>
  <c r="I24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" i="8"/>
  <c r="P2" i="8"/>
  <c r="L3" i="8"/>
  <c r="L4" i="8"/>
  <c r="L5" i="8"/>
  <c r="L6" i="8"/>
  <c r="L7" i="8"/>
  <c r="L8" i="8"/>
  <c r="L9" i="8"/>
  <c r="N9" i="8" s="1"/>
  <c r="L10" i="8"/>
  <c r="L11" i="8"/>
  <c r="L12" i="8"/>
  <c r="L13" i="8"/>
  <c r="L14" i="8"/>
  <c r="L15" i="8"/>
  <c r="L16" i="8"/>
  <c r="L17" i="8"/>
  <c r="N17" i="8" s="1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" i="8"/>
  <c r="J2" i="14"/>
  <c r="N2" i="14" s="1"/>
  <c r="N3" i="14"/>
  <c r="P2" i="14"/>
  <c r="L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T17" i="8" l="1"/>
  <c r="T9" i="8"/>
  <c r="T16" i="8"/>
  <c r="T8" i="8"/>
  <c r="T15" i="8"/>
  <c r="T21" i="8"/>
  <c r="T13" i="8"/>
  <c r="T5" i="8"/>
  <c r="T3" i="8"/>
  <c r="S17" i="8"/>
  <c r="S9" i="8"/>
  <c r="S8" i="8"/>
  <c r="R19" i="8"/>
  <c r="R17" i="8"/>
  <c r="R9" i="8"/>
  <c r="R8" i="8"/>
  <c r="N8" i="8"/>
  <c r="N7" i="8"/>
  <c r="S7" i="8" s="1"/>
  <c r="N14" i="8"/>
  <c r="S14" i="8" s="1"/>
  <c r="N6" i="8"/>
  <c r="S6" i="8" s="1"/>
  <c r="N21" i="8"/>
  <c r="S21" i="8" s="1"/>
  <c r="N13" i="8"/>
  <c r="R13" i="8" s="1"/>
  <c r="N5" i="8"/>
  <c r="R5" i="8" s="1"/>
  <c r="N18" i="8"/>
  <c r="R18" i="8" s="1"/>
  <c r="N10" i="8"/>
  <c r="S10" i="8" s="1"/>
  <c r="N15" i="8"/>
  <c r="S15" i="8" s="1"/>
  <c r="N20" i="8"/>
  <c r="R20" i="8" s="1"/>
  <c r="N12" i="8"/>
  <c r="S12" i="8" s="1"/>
  <c r="N4" i="8"/>
  <c r="S4" i="8" s="1"/>
  <c r="N16" i="8"/>
  <c r="S16" i="8" s="1"/>
  <c r="N3" i="8"/>
  <c r="S3" i="8" s="1"/>
  <c r="N2" i="8"/>
  <c r="R2" i="8" s="1"/>
  <c r="N19" i="8"/>
  <c r="S19" i="8" s="1"/>
  <c r="N11" i="8"/>
  <c r="S11" i="8" s="1"/>
  <c r="R2" i="14"/>
  <c r="R3" i="8" l="1"/>
  <c r="T2" i="8"/>
  <c r="R15" i="8"/>
  <c r="T11" i="8"/>
  <c r="T10" i="8"/>
  <c r="R4" i="8"/>
  <c r="S20" i="8"/>
  <c r="T19" i="8"/>
  <c r="T14" i="8"/>
  <c r="T18" i="8"/>
  <c r="T12" i="8"/>
  <c r="T20" i="8"/>
  <c r="R7" i="8"/>
  <c r="T6" i="8"/>
  <c r="R21" i="8"/>
  <c r="T4" i="8"/>
  <c r="T7" i="8"/>
  <c r="S2" i="8"/>
  <c r="R6" i="8"/>
  <c r="S5" i="8"/>
  <c r="R16" i="8"/>
  <c r="R12" i="8"/>
  <c r="S13" i="8"/>
  <c r="R11" i="8"/>
  <c r="R14" i="8"/>
  <c r="S18" i="8"/>
  <c r="R10" i="8"/>
  <c r="R4" i="14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<sst xmlns="http://schemas.openxmlformats.org/spreadsheetml/2006/main" count="476" uniqueCount="97">
  <si>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</si>
  <si>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</si>
  <si>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</si>
  <si>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</si>
  <si>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</si>
  <si>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</si>
  <si>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</si>
  <si>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</si>
  <si>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</si>
  <si>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</si>
  <si>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</si>
  <si>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</si>
  <si>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</si>
  <si>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</si>
  <si>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</si>
  <si>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</si>
  <si>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</si>
  <si>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</si>
  <si>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</si>
  <si>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</si>
  <si>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</si>
  <si>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</si>
  <si>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</si>
  <si>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</si>
  <si>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</si>
  <si>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</si>
  <si>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</si>
  <si>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</si>
  <si>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</si>
  <si>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</si>
  <si>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</si>
  <si>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</si>
  <si>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</si>
  <si>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</si>
  <si>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</si>
  <si>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</si>
  <si>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</si>
  <si>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</si>
  <si>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</si>
  <si>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</si>
  <si>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</si>
  <si>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</si>
  <si>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</si>
  <si>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</si>
  <si>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</si>
  <si>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</si>
  <si>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</si>
  <si>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</si>
  <si>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</si>
  <si>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</si>
  <si>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</si>
  <si>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</si>
  <si>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</si>
  <si>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</si>
  <si>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</si>
  <si>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</si>
  <si>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</si>
  <si>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</si>
  <si>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</si>
  <si>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</si>
  <si>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</si>
  <si>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</si>
  <si>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</si>
  <si>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</si>
  <si>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</si>
  <si>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</si>
  <si>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</si>
  <si>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</si>
  <si>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</si>
  <si>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</si>
  <si>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</si>
  <si>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</si>
  <si>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</si>
  <si>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</si>
  <si>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</si>
  <si>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</si>
  <si>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</si>
  <si>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</si>
  <si>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</si>
  <si>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</si>
  <si>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</si>
  <si>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</si>
  <si>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</si>
  <si>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</si>
  <si>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</si>
  <si>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</si>
  <si>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</si>
  <si>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</si>
  <si>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</si>
  <si>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</si>
  <si>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</si>
  <si>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</si>
  <si>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</si>
  <si>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Application Time</t>
  </si>
  <si>
    <t>Months Since Applied</t>
  </si>
  <si>
    <t>Years Since Applied</t>
  </si>
  <si>
    <t>Days and Months Since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</si>
</sst>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E27"/>
  <sheetViews>
    <sheetView tabSelected="1" workbookViewId="0">
      <selection activeCell="AD4" sqref="AD4"/>
    </sheetView>
  </sheetViews>
  <sheetFormatPr defaultRowHeight="14.4" x14ac:dyDescent="0.3"/>
  <cols>
    <col min="1" max="1" width="17.5546875" customWidth="1"/>
    <col min="2" max="2" width="14.33203125" hidden="1" customWidth="1"/>
    <col min="3" max="3" width="27.33203125" hidden="1" customWidth="1"/>
    <col min="4" max="4" width="23" style="9" bestFit="1" customWidth="1"/>
    <col min="5" max="5" width="0.33203125" customWidth="1"/>
    <col min="6" max="6" width="11" hidden="1" customWidth="1"/>
    <col min="7" max="7" width="22" hidden="1" customWidth="1"/>
    <col min="8" max="8" width="40" hidden="1" customWidth="1"/>
    <col min="9" max="9" width="30.5546875" customWidth="1"/>
    <col min="10" max="13" width="8.88671875" customWidth="1"/>
    <col min="14" max="14" width="14.109375" customWidth="1"/>
    <col min="15" max="17" width="8.88671875" customWidth="1"/>
    <col min="18" max="18" width="16" customWidth="1"/>
    <col min="19" max="20" width="19.6640625" customWidth="1"/>
    <col min="21" max="21" width="28.33203125" customWidth="1"/>
    <col min="22" max="26" width="8.88671875" customWidth="1"/>
    <col min="27" max="27" width="19" customWidth="1"/>
    <col min="28" max="28" width="14.44140625" customWidth="1"/>
    <col min="29" max="29" width="8.88671875" customWidth="1"/>
  </cols>
  <sheetData>
    <row r="1" spans="1:31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S1" s="15" t="s">
        <v>94</v>
      </c>
      <c r="T1" s="15" t="s">
        <v>95</v>
      </c>
      <c r="U1" s="15" t="s">
        <v>96</v>
      </c>
      <c r="W1" s="15" t="s">
        <v>90</v>
      </c>
      <c r="X1" s="15" t="s">
        <v>91</v>
      </c>
      <c r="Y1" s="15" t="s">
        <v>92</v>
      </c>
      <c r="AA1" s="15" t="s">
        <v>93</v>
      </c>
      <c r="AB1" s="15" t="s">
        <v>93</v>
      </c>
      <c r="AD1" s="15"/>
      <c r="AE1" s="16"/>
    </row>
    <row r="2" spans="1:31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46056</v>
      </c>
      <c r="R2">
        <f ca="1">DATEDIF(N2,$P$2,"D")</f>
        <v>1085</v>
      </c>
      <c r="S2">
        <f ca="1">DATEDIF(N2,$P$2,"M")</f>
        <v>35</v>
      </c>
      <c r="T2">
        <f ca="1">DATEDIF(N2,$P$2,"Y")</f>
        <v>2</v>
      </c>
      <c r="U2" t="str">
        <f ca="1">DATEDIF(N2,TODAY(),"M") &amp; " Months " &amp; DATEDIF(N2,TODAY(),"D") &amp; " Days "</f>
        <v xml:space="preserve">35 Months 1085 Days </v>
      </c>
      <c r="W2">
        <f>HOUR(D2)</f>
        <v>15</v>
      </c>
      <c r="X2">
        <f>MINUTE(D2)</f>
        <v>22</v>
      </c>
      <c r="Y2">
        <f>SECOND(D2)</f>
        <v>15</v>
      </c>
      <c r="AA2" s="13">
        <f>TIME(W2,X2,Y2)</f>
        <v>0.64045138888888886</v>
      </c>
      <c r="AB2" t="str">
        <f>TEXT(AA2,"hh:mm:ss")</f>
        <v>15:22:15</v>
      </c>
    </row>
    <row r="3" spans="1:31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>DATE(L3,J3,K3)</f>
        <v>45055</v>
      </c>
      <c r="R3">
        <f t="shared" ref="R3:R21" ca="1" si="3">DATEDIF(N3,$P$2,"D")</f>
        <v>1001</v>
      </c>
      <c r="S3">
        <f t="shared" ref="S3:S21" ca="1" si="4">DATEDIF(N3,$P$2,"M")</f>
        <v>32</v>
      </c>
      <c r="T3">
        <f t="shared" ref="T3:T21" ca="1" si="5">DATEDIF(N3,$P$2,"Y")</f>
        <v>2</v>
      </c>
      <c r="U3" t="str">
        <f t="shared" ref="U3:U21" ca="1" si="6">DATEDIF(N3,TODAY(),"M") &amp; " Months " &amp; DATEDIF(N3,TODAY(),"D") &amp; " Days "</f>
        <v xml:space="preserve">32 Months 1001 Days </v>
      </c>
      <c r="W3">
        <f t="shared" ref="W3:W21" si="7">HOUR(D3)</f>
        <v>9</v>
      </c>
      <c r="X3">
        <f t="shared" ref="X3:X21" si="8">MINUTE(D3)</f>
        <v>45</v>
      </c>
      <c r="Y3">
        <f t="shared" ref="Y3:Y21" si="9">SECOND(D3)</f>
        <v>32</v>
      </c>
      <c r="AA3" s="13">
        <f t="shared" ref="AA3:AA21" si="10">TIME(W3,X3,Y3)</f>
        <v>0.40662037037037035</v>
      </c>
      <c r="AB3" t="str">
        <f t="shared" ref="AB3:AB21" si="11">TEXT(AA3,"hh:mm:ss")</f>
        <v>09:45:32</v>
      </c>
    </row>
    <row r="4" spans="1:31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ref="N4:N21" si="12">DATE(L4,J4,K4)</f>
        <v>45128</v>
      </c>
      <c r="R4">
        <f t="shared" ca="1" si="3"/>
        <v>928</v>
      </c>
      <c r="S4">
        <f t="shared" ca="1" si="4"/>
        <v>30</v>
      </c>
      <c r="T4">
        <f t="shared" ca="1" si="5"/>
        <v>2</v>
      </c>
      <c r="U4" t="str">
        <f t="shared" ca="1" si="6"/>
        <v xml:space="preserve">30 Months 928 Days </v>
      </c>
      <c r="W4">
        <f t="shared" si="7"/>
        <v>17</v>
      </c>
      <c r="X4">
        <f t="shared" si="8"/>
        <v>30</v>
      </c>
      <c r="Y4">
        <f t="shared" si="9"/>
        <v>47</v>
      </c>
      <c r="AA4" s="13">
        <f t="shared" si="10"/>
        <v>0.72971064814814812</v>
      </c>
      <c r="AB4" t="str">
        <f t="shared" si="11"/>
        <v>17:30:47</v>
      </c>
    </row>
    <row r="5" spans="1:31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12"/>
        <v>45173</v>
      </c>
      <c r="R5">
        <f t="shared" ca="1" si="3"/>
        <v>883</v>
      </c>
      <c r="S5">
        <f t="shared" ca="1" si="4"/>
        <v>28</v>
      </c>
      <c r="T5">
        <f t="shared" ca="1" si="5"/>
        <v>2</v>
      </c>
      <c r="U5" t="str">
        <f t="shared" ca="1" si="6"/>
        <v xml:space="preserve">28 Months 883 Days </v>
      </c>
      <c r="W5">
        <f t="shared" si="7"/>
        <v>7</v>
      </c>
      <c r="X5">
        <f t="shared" si="8"/>
        <v>15</v>
      </c>
      <c r="Y5">
        <f t="shared" si="9"/>
        <v>9</v>
      </c>
      <c r="AA5" s="13">
        <f t="shared" si="10"/>
        <v>0.3021875</v>
      </c>
      <c r="AB5" t="str">
        <f t="shared" si="11"/>
        <v>07:15:09</v>
      </c>
    </row>
    <row r="6" spans="1:31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12"/>
        <v>45248</v>
      </c>
      <c r="R6">
        <f t="shared" ca="1" si="3"/>
        <v>808</v>
      </c>
      <c r="S6">
        <f t="shared" ca="1" si="4"/>
        <v>26</v>
      </c>
      <c r="T6">
        <f t="shared" ca="1" si="5"/>
        <v>2</v>
      </c>
      <c r="U6" t="str">
        <f t="shared" ca="1" si="6"/>
        <v xml:space="preserve">26 Months 808 Days </v>
      </c>
      <c r="W6">
        <f t="shared" si="7"/>
        <v>17</v>
      </c>
      <c r="X6">
        <f t="shared" si="8"/>
        <v>0</v>
      </c>
      <c r="Y6">
        <f t="shared" si="9"/>
        <v>21</v>
      </c>
      <c r="AA6" s="13">
        <f t="shared" si="10"/>
        <v>0.70857638888888885</v>
      </c>
      <c r="AB6" t="str">
        <f t="shared" si="11"/>
        <v>17:00:21</v>
      </c>
    </row>
    <row r="7" spans="1:31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12"/>
        <v>45302</v>
      </c>
      <c r="R7">
        <f t="shared" ca="1" si="3"/>
        <v>754</v>
      </c>
      <c r="S7">
        <f t="shared" ca="1" si="4"/>
        <v>24</v>
      </c>
      <c r="T7">
        <f t="shared" ca="1" si="5"/>
        <v>2</v>
      </c>
      <c r="U7" t="str">
        <f t="shared" ca="1" si="6"/>
        <v xml:space="preserve">24 Months 754 Days </v>
      </c>
      <c r="W7">
        <f t="shared" si="7"/>
        <v>12</v>
      </c>
      <c r="X7">
        <f t="shared" si="8"/>
        <v>45</v>
      </c>
      <c r="Y7">
        <f t="shared" si="9"/>
        <v>58</v>
      </c>
      <c r="AA7" s="13">
        <f t="shared" si="10"/>
        <v>0.53192129629629625</v>
      </c>
      <c r="AB7" t="str">
        <f t="shared" si="11"/>
        <v>12:45:58</v>
      </c>
    </row>
    <row r="8" spans="1:31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12"/>
        <v>45354</v>
      </c>
      <c r="R8">
        <f t="shared" ca="1" si="3"/>
        <v>702</v>
      </c>
      <c r="S8">
        <f t="shared" ca="1" si="4"/>
        <v>23</v>
      </c>
      <c r="T8">
        <f t="shared" ca="1" si="5"/>
        <v>1</v>
      </c>
      <c r="U8" t="str">
        <f t="shared" ca="1" si="6"/>
        <v xml:space="preserve">23 Months 702 Days </v>
      </c>
      <c r="W8">
        <f t="shared" si="7"/>
        <v>16</v>
      </c>
      <c r="X8">
        <f t="shared" si="8"/>
        <v>30</v>
      </c>
      <c r="Y8">
        <f t="shared" si="9"/>
        <v>33</v>
      </c>
      <c r="AA8" s="13">
        <f t="shared" si="10"/>
        <v>0.68788194444444439</v>
      </c>
      <c r="AB8" t="str">
        <f t="shared" si="11"/>
        <v>16:30:33</v>
      </c>
    </row>
    <row r="9" spans="1:31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12"/>
        <v>45408</v>
      </c>
      <c r="R9">
        <f t="shared" ca="1" si="3"/>
        <v>648</v>
      </c>
      <c r="S9">
        <f t="shared" ca="1" si="4"/>
        <v>21</v>
      </c>
      <c r="T9">
        <f t="shared" ca="1" si="5"/>
        <v>1</v>
      </c>
      <c r="U9" t="str">
        <f t="shared" ca="1" si="6"/>
        <v xml:space="preserve">21 Months 648 Days </v>
      </c>
      <c r="W9">
        <f t="shared" si="7"/>
        <v>8</v>
      </c>
      <c r="X9">
        <f t="shared" si="8"/>
        <v>10</v>
      </c>
      <c r="Y9">
        <f t="shared" si="9"/>
        <v>46</v>
      </c>
      <c r="AA9" s="13">
        <f t="shared" si="10"/>
        <v>0.34081018518518519</v>
      </c>
      <c r="AB9" t="str">
        <f t="shared" si="11"/>
        <v>08:10:46</v>
      </c>
    </row>
    <row r="10" spans="1:31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12"/>
        <v>45458</v>
      </c>
      <c r="R10">
        <f t="shared" ca="1" si="3"/>
        <v>598</v>
      </c>
      <c r="S10">
        <f t="shared" ca="1" si="4"/>
        <v>19</v>
      </c>
      <c r="T10">
        <f t="shared" ca="1" si="5"/>
        <v>1</v>
      </c>
      <c r="U10" t="str">
        <f t="shared" ca="1" si="6"/>
        <v xml:space="preserve">19 Months 598 Days </v>
      </c>
      <c r="W10">
        <f t="shared" si="7"/>
        <v>17</v>
      </c>
      <c r="X10">
        <f t="shared" si="8"/>
        <v>50</v>
      </c>
      <c r="Y10">
        <f t="shared" si="9"/>
        <v>24</v>
      </c>
      <c r="AA10" s="13">
        <f t="shared" si="10"/>
        <v>0.74333333333333329</v>
      </c>
      <c r="AB10" t="str">
        <f t="shared" si="11"/>
        <v>17:50:24</v>
      </c>
    </row>
    <row r="11" spans="1:31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12"/>
        <v>45480</v>
      </c>
      <c r="R11">
        <f t="shared" ca="1" si="3"/>
        <v>576</v>
      </c>
      <c r="S11">
        <f t="shared" ca="1" si="4"/>
        <v>18</v>
      </c>
      <c r="T11">
        <f t="shared" ca="1" si="5"/>
        <v>1</v>
      </c>
      <c r="U11" t="str">
        <f t="shared" ca="1" si="6"/>
        <v xml:space="preserve">18 Months 576 Days </v>
      </c>
      <c r="W11">
        <f t="shared" si="7"/>
        <v>14</v>
      </c>
      <c r="X11">
        <f t="shared" si="8"/>
        <v>35</v>
      </c>
      <c r="Y11">
        <f t="shared" si="9"/>
        <v>36</v>
      </c>
      <c r="AA11" s="13">
        <f t="shared" si="10"/>
        <v>0.60805555555555557</v>
      </c>
      <c r="AB11" t="str">
        <f t="shared" si="11"/>
        <v>14:35:36</v>
      </c>
    </row>
    <row r="12" spans="1:31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12"/>
        <v>45455</v>
      </c>
      <c r="R12">
        <f t="shared" ca="1" si="3"/>
        <v>601</v>
      </c>
      <c r="S12">
        <f t="shared" ca="1" si="4"/>
        <v>19</v>
      </c>
      <c r="T12">
        <f t="shared" ca="1" si="5"/>
        <v>1</v>
      </c>
      <c r="U12" t="str">
        <f t="shared" ca="1" si="6"/>
        <v xml:space="preserve">19 Months 601 Days </v>
      </c>
      <c r="W12">
        <f t="shared" si="7"/>
        <v>6</v>
      </c>
      <c r="X12">
        <f t="shared" si="8"/>
        <v>50</v>
      </c>
      <c r="Y12">
        <f t="shared" si="9"/>
        <v>18</v>
      </c>
      <c r="AA12" s="13">
        <f t="shared" si="10"/>
        <v>0.28493055555555558</v>
      </c>
      <c r="AB12" t="str">
        <f t="shared" si="11"/>
        <v>06:50:18</v>
      </c>
    </row>
    <row r="13" spans="1:31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12"/>
        <v>44951</v>
      </c>
      <c r="R13">
        <f t="shared" ca="1" si="3"/>
        <v>1105</v>
      </c>
      <c r="S13">
        <f t="shared" ca="1" si="4"/>
        <v>36</v>
      </c>
      <c r="T13">
        <f t="shared" ca="1" si="5"/>
        <v>3</v>
      </c>
      <c r="U13" t="str">
        <f t="shared" ca="1" si="6"/>
        <v xml:space="preserve">36 Months 1105 Days </v>
      </c>
      <c r="W13">
        <f t="shared" si="7"/>
        <v>13</v>
      </c>
      <c r="X13">
        <f t="shared" si="8"/>
        <v>15</v>
      </c>
      <c r="Y13">
        <f t="shared" si="9"/>
        <v>5</v>
      </c>
      <c r="AA13" s="13">
        <f t="shared" si="10"/>
        <v>0.55214120370370368</v>
      </c>
      <c r="AB13" t="str">
        <f t="shared" si="11"/>
        <v>13:15:05</v>
      </c>
    </row>
    <row r="14" spans="1:31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12"/>
        <v>45002</v>
      </c>
      <c r="R14">
        <f t="shared" ca="1" si="3"/>
        <v>1054</v>
      </c>
      <c r="S14">
        <f t="shared" ca="1" si="4"/>
        <v>34</v>
      </c>
      <c r="T14">
        <f t="shared" ca="1" si="5"/>
        <v>2</v>
      </c>
      <c r="U14" t="str">
        <f t="shared" ca="1" si="6"/>
        <v xml:space="preserve">34 Months 1054 Days </v>
      </c>
      <c r="W14">
        <f t="shared" si="7"/>
        <v>11</v>
      </c>
      <c r="X14">
        <f t="shared" si="8"/>
        <v>45</v>
      </c>
      <c r="Y14">
        <f t="shared" si="9"/>
        <v>39</v>
      </c>
      <c r="AA14" s="13">
        <f t="shared" si="10"/>
        <v>0.49003472222222222</v>
      </c>
      <c r="AB14" t="str">
        <f t="shared" si="11"/>
        <v>11:45:39</v>
      </c>
    </row>
    <row r="15" spans="1:31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12"/>
        <v>45078</v>
      </c>
      <c r="R15">
        <f t="shared" ca="1" si="3"/>
        <v>978</v>
      </c>
      <c r="S15">
        <f t="shared" ca="1" si="4"/>
        <v>32</v>
      </c>
      <c r="T15">
        <f t="shared" ca="1" si="5"/>
        <v>2</v>
      </c>
      <c r="U15" t="str">
        <f t="shared" ca="1" si="6"/>
        <v xml:space="preserve">32 Months 978 Days </v>
      </c>
      <c r="W15">
        <f t="shared" si="7"/>
        <v>10</v>
      </c>
      <c r="X15">
        <f t="shared" si="8"/>
        <v>0</v>
      </c>
      <c r="Y15">
        <f t="shared" si="9"/>
        <v>51</v>
      </c>
      <c r="AA15" s="13">
        <f t="shared" si="10"/>
        <v>0.41725694444444444</v>
      </c>
      <c r="AB15" t="str">
        <f t="shared" si="11"/>
        <v>10:00:51</v>
      </c>
    </row>
    <row r="16" spans="1:31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12"/>
        <v>45168</v>
      </c>
      <c r="R16">
        <f t="shared" ca="1" si="3"/>
        <v>888</v>
      </c>
      <c r="S16">
        <f t="shared" ca="1" si="4"/>
        <v>29</v>
      </c>
      <c r="T16">
        <f t="shared" ca="1" si="5"/>
        <v>2</v>
      </c>
      <c r="U16" t="str">
        <f t="shared" ca="1" si="6"/>
        <v xml:space="preserve">29 Months 888 Days </v>
      </c>
      <c r="W16">
        <f t="shared" si="7"/>
        <v>17</v>
      </c>
      <c r="X16">
        <f t="shared" si="8"/>
        <v>30</v>
      </c>
      <c r="Y16">
        <f t="shared" si="9"/>
        <v>14</v>
      </c>
      <c r="AA16" s="13">
        <f t="shared" si="10"/>
        <v>0.72932870370370373</v>
      </c>
      <c r="AB16" t="str">
        <f t="shared" si="11"/>
        <v>17:30:14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12"/>
        <v>45218</v>
      </c>
      <c r="R17">
        <f t="shared" ca="1" si="3"/>
        <v>838</v>
      </c>
      <c r="S17">
        <f t="shared" ca="1" si="4"/>
        <v>27</v>
      </c>
      <c r="T17">
        <f t="shared" ca="1" si="5"/>
        <v>2</v>
      </c>
      <c r="U17" t="str">
        <f t="shared" ca="1" si="6"/>
        <v xml:space="preserve">27 Months 838 Days </v>
      </c>
      <c r="W17">
        <f t="shared" si="7"/>
        <v>7</v>
      </c>
      <c r="X17">
        <f t="shared" si="8"/>
        <v>40</v>
      </c>
      <c r="Y17">
        <f t="shared" si="9"/>
        <v>29</v>
      </c>
      <c r="AA17" s="13">
        <f t="shared" si="10"/>
        <v>0.3197800925925926</v>
      </c>
      <c r="AB17" t="str">
        <f t="shared" si="11"/>
        <v>07:40:29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12"/>
        <v>45350</v>
      </c>
      <c r="R18">
        <f t="shared" ca="1" si="3"/>
        <v>706</v>
      </c>
      <c r="S18">
        <f t="shared" ca="1" si="4"/>
        <v>23</v>
      </c>
      <c r="T18">
        <f t="shared" ca="1" si="5"/>
        <v>1</v>
      </c>
      <c r="U18" t="str">
        <f t="shared" ca="1" si="6"/>
        <v xml:space="preserve">23 Months 706 Days </v>
      </c>
      <c r="W18">
        <f t="shared" si="7"/>
        <v>17</v>
      </c>
      <c r="X18">
        <f t="shared" si="8"/>
        <v>15</v>
      </c>
      <c r="Y18">
        <f t="shared" si="9"/>
        <v>42</v>
      </c>
      <c r="AA18" s="13">
        <f t="shared" si="10"/>
        <v>0.71923611111111108</v>
      </c>
      <c r="AB18" t="str">
        <f t="shared" si="11"/>
        <v>17:15:42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12"/>
        <v>45418</v>
      </c>
      <c r="R19">
        <f t="shared" ca="1" si="3"/>
        <v>638</v>
      </c>
      <c r="S19">
        <f t="shared" ca="1" si="4"/>
        <v>20</v>
      </c>
      <c r="T19">
        <f t="shared" ca="1" si="5"/>
        <v>1</v>
      </c>
      <c r="U19" t="str">
        <f t="shared" ca="1" si="6"/>
        <v xml:space="preserve">20 Months 638 Days </v>
      </c>
      <c r="W19">
        <f t="shared" si="7"/>
        <v>17</v>
      </c>
      <c r="X19">
        <f t="shared" si="8"/>
        <v>25</v>
      </c>
      <c r="Y19">
        <f t="shared" si="9"/>
        <v>57</v>
      </c>
      <c r="AA19" s="13">
        <f t="shared" si="10"/>
        <v>0.72635416666666663</v>
      </c>
      <c r="AB19" t="str">
        <f t="shared" si="11"/>
        <v>17:25:57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12"/>
        <v>45496</v>
      </c>
      <c r="R20">
        <f t="shared" ca="1" si="3"/>
        <v>560</v>
      </c>
      <c r="S20">
        <f t="shared" ca="1" si="4"/>
        <v>18</v>
      </c>
      <c r="T20">
        <f t="shared" ca="1" si="5"/>
        <v>1</v>
      </c>
      <c r="U20" t="str">
        <f t="shared" ca="1" si="6"/>
        <v xml:space="preserve">18 Months 560 Days </v>
      </c>
      <c r="W20">
        <f t="shared" si="7"/>
        <v>7</v>
      </c>
      <c r="X20">
        <f t="shared" si="8"/>
        <v>0</v>
      </c>
      <c r="Y20">
        <f t="shared" si="9"/>
        <v>3</v>
      </c>
      <c r="AA20" s="13">
        <f t="shared" si="10"/>
        <v>0.29170138888888891</v>
      </c>
      <c r="AB20" t="str">
        <f t="shared" si="11"/>
        <v>07:00:03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12"/>
        <v>45422</v>
      </c>
      <c r="R21">
        <f t="shared" ca="1" si="3"/>
        <v>634</v>
      </c>
      <c r="S21">
        <f t="shared" ca="1" si="4"/>
        <v>20</v>
      </c>
      <c r="T21">
        <f t="shared" ca="1" si="5"/>
        <v>1</v>
      </c>
      <c r="U21" t="str">
        <f t="shared" ca="1" si="6"/>
        <v xml:space="preserve">20 Months 634 Days </v>
      </c>
      <c r="W21">
        <f t="shared" si="7"/>
        <v>17</v>
      </c>
      <c r="X21">
        <f t="shared" si="8"/>
        <v>45</v>
      </c>
      <c r="Y21">
        <f t="shared" si="9"/>
        <v>26</v>
      </c>
      <c r="AA21" s="13">
        <f t="shared" si="10"/>
        <v>0.73988425925925927</v>
      </c>
      <c r="AB21" t="str">
        <f t="shared" si="11"/>
        <v>17:45:26</v>
      </c>
    </row>
    <row r="24" spans="1:28" x14ac:dyDescent="0.3">
      <c r="I24" s="18" t="str">
        <f>TEXT(N14,"dddd")</f>
        <v>Friday</v>
      </c>
    </row>
    <row r="25" spans="1:28" x14ac:dyDescent="0.3">
      <c r="I25" s="18" t="str">
        <f>TEXT(N14,"ddd")</f>
        <v>Fri</v>
      </c>
    </row>
    <row r="26" spans="1:28" x14ac:dyDescent="0.3">
      <c r="I26" s="18" t="str">
        <f>TEXT(N14,"mmm dd,yyy")</f>
        <v>Mar 17,2023</v>
      </c>
    </row>
    <row r="27" spans="1:28" x14ac:dyDescent="0.3">
      <c r="I27" s="18" t="str">
        <f>TEXT(N14,"mmmm dd,yyy")</f>
        <v>March 17,2023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BD13-1B46-4C10-878A-10D6E5C1D133}">
  <dimension ref="A1:L21"/>
  <sheetViews>
    <sheetView workbookViewId="0">
      <selection activeCell="D7" sqref="D7"/>
    </sheetView>
  </sheetViews>
  <sheetFormatPr defaultRowHeight="14.4" x14ac:dyDescent="0.3"/>
  <cols>
    <col min="1" max="1" width="23" bestFit="1" customWidth="1"/>
    <col min="8" max="8" width="15.88671875" bestFit="1" customWidth="1"/>
    <col min="12" max="12" width="18" bestFit="1" customWidth="1"/>
  </cols>
  <sheetData>
    <row r="1" spans="1:12" x14ac:dyDescent="0.3">
      <c r="A1" s="10" t="s">
        <v>86</v>
      </c>
      <c r="D1" s="15" t="s">
        <v>84</v>
      </c>
      <c r="E1" s="15" t="s">
        <v>88</v>
      </c>
      <c r="F1" s="15" t="s">
        <v>85</v>
      </c>
      <c r="H1" s="15" t="s">
        <v>22</v>
      </c>
      <c r="J1" s="15" t="s">
        <v>87</v>
      </c>
      <c r="L1" s="15" t="s">
        <v>89</v>
      </c>
    </row>
    <row r="2" spans="1:12" x14ac:dyDescent="0.3">
      <c r="A2" s="11">
        <v>44971.640451388892</v>
      </c>
    </row>
    <row r="3" spans="1:12" x14ac:dyDescent="0.3">
      <c r="A3" s="11">
        <v>45055.40662037037</v>
      </c>
    </row>
    <row r="4" spans="1:12" x14ac:dyDescent="0.3">
      <c r="A4" s="11">
        <v>45128.729710648149</v>
      </c>
    </row>
    <row r="5" spans="1:12" x14ac:dyDescent="0.3">
      <c r="A5" s="11">
        <v>45173.302187499998</v>
      </c>
    </row>
    <row r="6" spans="1:12" x14ac:dyDescent="0.3">
      <c r="A6" s="11">
        <v>45248.70857638889</v>
      </c>
    </row>
    <row r="7" spans="1:12" x14ac:dyDescent="0.3">
      <c r="A7" s="11">
        <v>45302.531921296293</v>
      </c>
    </row>
    <row r="8" spans="1:12" x14ac:dyDescent="0.3">
      <c r="A8" s="11">
        <v>45354.687881944446</v>
      </c>
    </row>
    <row r="9" spans="1:12" x14ac:dyDescent="0.3">
      <c r="A9" s="11">
        <v>45408.340810185182</v>
      </c>
    </row>
    <row r="10" spans="1:12" x14ac:dyDescent="0.3">
      <c r="A10" s="11">
        <v>45458.743333333332</v>
      </c>
    </row>
    <row r="11" spans="1:12" x14ac:dyDescent="0.3">
      <c r="A11" s="11">
        <v>45480.608055555553</v>
      </c>
    </row>
    <row r="12" spans="1:12" x14ac:dyDescent="0.3">
      <c r="A12" s="11">
        <v>45455.284930555557</v>
      </c>
    </row>
    <row r="13" spans="1:12" x14ac:dyDescent="0.3">
      <c r="A13" s="11">
        <v>44951.552141203705</v>
      </c>
    </row>
    <row r="14" spans="1:12" x14ac:dyDescent="0.3">
      <c r="A14" s="11">
        <v>45002.490034722221</v>
      </c>
    </row>
    <row r="15" spans="1:12" x14ac:dyDescent="0.3">
      <c r="A15" s="11">
        <v>45078.417256944442</v>
      </c>
    </row>
    <row r="16" spans="1:12" x14ac:dyDescent="0.3">
      <c r="A16" s="11">
        <v>45168.729328703703</v>
      </c>
    </row>
    <row r="17" spans="1:1" x14ac:dyDescent="0.3">
      <c r="A17" s="11">
        <v>45218.319780092592</v>
      </c>
    </row>
    <row r="18" spans="1:1" x14ac:dyDescent="0.3">
      <c r="A18" s="11">
        <v>45350.719236111108</v>
      </c>
    </row>
    <row r="19" spans="1:1" x14ac:dyDescent="0.3">
      <c r="A19" s="11">
        <v>45418.726354166669</v>
      </c>
    </row>
    <row r="20" spans="1:1" x14ac:dyDescent="0.3">
      <c r="A20" s="11">
        <v>45496.291701388887</v>
      </c>
    </row>
    <row r="21" spans="1:1" ht="15" thickBot="1" x14ac:dyDescent="0.35">
      <c r="A21" s="12">
        <v>45422.739884259259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J1" sqref="J1:R1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3320312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46056</v>
      </c>
      <c r="R2">
        <f ca="1">DATEDIF(D2,$P$2,"D")</f>
        <v>1085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>DATE(L3,J3,K3)</f>
        <v>45055</v>
      </c>
      <c r="R3">
        <f ca="1">DATEDIF(D3,$P$2,"D")</f>
        <v>1001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ref="N4:N21" si="3">DATE(L4,J4,K4)</f>
        <v>45128</v>
      </c>
      <c r="R4">
        <f t="shared" ref="R4:R21" ca="1" si="4">DATEDIF(D4,$P$2,"D")</f>
        <v>928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883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808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754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702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648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598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576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601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1105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1054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978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888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838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706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638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560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G1" workbookViewId="0">
      <selection activeCell="R1" sqref="R1:R1048576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3320312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664062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93</v>
      </c>
      <c r="O1" s="15" t="s">
        <v>93</v>
      </c>
      <c r="Q1" s="15"/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/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/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/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/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/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/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/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/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/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/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/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/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/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/>
    </row>
    <row r="17" spans="1:17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/>
    </row>
    <row r="18" spans="1:17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/>
    </row>
    <row r="19" spans="1:17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/>
    </row>
    <row r="20" spans="1:17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/>
    </row>
    <row r="21" spans="1:17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/>
    </row>
    <row r="22" spans="1:17" x14ac:dyDescent="0.3">
      <c r="Q22" s="14"/>
    </row>
    <row r="23" spans="1:17" x14ac:dyDescent="0.3">
      <c r="Q23" s="14"/>
    </row>
    <row r="24" spans="1:17" x14ac:dyDescent="0.3">
      <c r="Q24" s="14"/>
    </row>
    <row r="25" spans="1:17" x14ac:dyDescent="0.3">
      <c r="Q25" s="14"/>
    </row>
    <row r="26" spans="1:17" x14ac:dyDescent="0.3">
      <c r="Q26" s="14"/>
    </row>
  </sheetData>
  <autoFilter ref="A1:H21" xr:uid="{6C5E2CB8-8C8C-43FB-95B8-5A63A3C08A07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Mohamed Reda</cp:lastModifiedBy>
  <dcterms:created xsi:type="dcterms:W3CDTF">2015-06-05T18:17:20Z</dcterms:created>
  <dcterms:modified xsi:type="dcterms:W3CDTF">2026-02-03T02:27:02Z</dcterms:modified>
</cp:coreProperties>
</file>