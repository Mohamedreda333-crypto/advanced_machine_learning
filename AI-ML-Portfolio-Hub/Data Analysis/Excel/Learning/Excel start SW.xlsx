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C\Desktop\machine learning\Excel\"/>
    </mc:Choice>
  </mc:AlternateContent>
  <xr:revisionPtr revIDLastSave="0" documentId="8_{1FBFFDA1-0218-43CD-BA01-3B6FA519C670}" xr6:coauthVersionLast="47" xr6:coauthVersionMax="47" xr10:uidLastSave="{00000000-0000-0000-0000-000000000000}"/>
  <bookViews>
    <workbookView xWindow="-108" yWindow="-108" windowWidth="23256" windowHeight="12456" activeTab="1" xr2:uid="{4C793D6D-C7DE-46DF-B18E-9CF49DB37A47}"/>
  </bookViews>
  <sheets>
    <sheet name="Main table" sheetId="1" r:id="rId1"/>
    <sheet name="Sheet2" sheetId="2" r:id="rId2"/>
  </sheets>
  <definedNames>
    <definedName name="_xlcn.WorksheetConnection_Book1Table21" hidden="1">Table2[]</definedName>
    <definedName name="_xlcn.WorksheetConnection_ExcelstartSW.xlsxTable11" hidden="1">Table1[]</definedName>
    <definedName name="Slicer_Name">#N/A</definedName>
  </definedNames>
  <calcPr calcId="191029"/>
  <pivotCaches>
    <pivotCache cacheId="16" r:id="rId3"/>
    <pivotCache cacheId="20"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ook1!Table2"/>
          <x15:modelTable id="Table1" name="Table1" connection="WorksheetConnection_Excel start SW.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2" l="1"/>
  <c r="H17" i="2"/>
  <c r="E17" i="1"/>
  <c r="H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04AB58-C7E7-42CF-95B0-8AADA94727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2E6C33-ACC2-4F1E-85A3-E987178D69DB}" name="WorksheetConnection_Book1!Table2" type="102" refreshedVersion="8" minRefreshableVersion="5">
    <extLst>
      <ext xmlns:x15="http://schemas.microsoft.com/office/spreadsheetml/2010/11/main" uri="{DE250136-89BD-433C-8126-D09CA5730AF9}">
        <x15:connection id="Table2" autoDelete="1">
          <x15:rangePr sourceName="_xlcn.WorksheetConnection_Book1Table21"/>
        </x15:connection>
      </ext>
    </extLst>
  </connection>
  <connection id="3" xr16:uid="{5AC5AAD7-9C6F-476B-B34A-34BEE227789D}" name="WorksheetConnection_Excel start SW.xlsx!Table1" type="102" refreshedVersion="8" minRefreshableVersion="5">
    <extLst>
      <ext xmlns:x15="http://schemas.microsoft.com/office/spreadsheetml/2010/11/main" uri="{DE250136-89BD-433C-8126-D09CA5730AF9}">
        <x15:connection id="Table1" autoDelete="1">
          <x15:rangePr sourceName="_xlcn.WorksheetConnection_ExcelstartSW.xlsxTable11"/>
        </x15:connection>
      </ext>
    </extLst>
  </connection>
</connections>
</file>

<file path=xl/sharedStrings.xml><?xml version="1.0" encoding="utf-8"?>
<sst xmlns="http://schemas.openxmlformats.org/spreadsheetml/2006/main" count="62" uniqueCount="13">
  <si>
    <t>Name</t>
  </si>
  <si>
    <t>Age</t>
  </si>
  <si>
    <t>Email</t>
  </si>
  <si>
    <t>Date</t>
  </si>
  <si>
    <t>bill</t>
  </si>
  <si>
    <t>Youssef</t>
  </si>
  <si>
    <t>Ahmed</t>
  </si>
  <si>
    <t>Khaled</t>
  </si>
  <si>
    <t>Total</t>
  </si>
  <si>
    <t>Grand Total</t>
  </si>
  <si>
    <t>Row Labels</t>
  </si>
  <si>
    <t>Sum of bill</t>
  </si>
  <si>
    <t>medokhamis29@gmail.com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</si>
</sst>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1"/>
      <color theme="1"/>
      <name val="Aptos Narrow"/>
      <family val="2"/>
      <scheme val="minor"/>
    </font>
    <font>
      <sz val="10"/>
      <color theme="1"/>
      <name val="Aptos Narrow"/>
      <family val="2"/>
      <scheme val="minor"/>
    </font>
    <font>
      <b/>
      <i/>
      <sz val="14"/>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
      <u/>
      <sz val="1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3" fillId="0" borderId="0" applyNumberFormat="0" applyFill="0" applyBorder="0" applyAlignment="0" applyProtection="0"/>
  </cellStyleXfs>
  <cellXfs count="38">
    <xf numFmtId="0" fontId="0" fillId="0" borderId="0" xfId="0"/>
    <xf numFmtId="0" fontId="1" fillId="0" borderId="0" xfId="0" applyFont="1"/>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0" fillId="0" borderId="5" xfId="0" applyBorder="1"/>
    <xf numFmtId="0" fontId="0" fillId="0" borderId="1" xfId="0" applyBorder="1"/>
    <xf numFmtId="0" fontId="0" fillId="0" borderId="7" xfId="0" applyBorder="1"/>
    <xf numFmtId="0" fontId="0" fillId="0" borderId="8" xfId="0" applyBorder="1"/>
    <xf numFmtId="0" fontId="3" fillId="0" borderId="1" xfId="1" applyBorder="1"/>
    <xf numFmtId="164" fontId="0" fillId="0" borderId="6" xfId="0" applyNumberFormat="1" applyBorder="1"/>
    <xf numFmtId="14" fontId="0" fillId="0" borderId="1" xfId="0" applyNumberFormat="1" applyBorder="1"/>
    <xf numFmtId="164" fontId="0" fillId="0" borderId="9"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3" fillId="0" borderId="8" xfId="1" applyBorder="1"/>
    <xf numFmtId="14" fontId="0" fillId="0" borderId="8" xfId="0" applyNumberFormat="1" applyBorder="1"/>
    <xf numFmtId="164" fontId="0" fillId="0" borderId="0" xfId="0" applyNumberFormat="1"/>
    <xf numFmtId="0" fontId="5" fillId="0" borderId="5" xfId="0" applyFont="1" applyBorder="1"/>
    <xf numFmtId="0" fontId="5" fillId="0" borderId="1" xfId="0" applyFont="1" applyBorder="1"/>
    <xf numFmtId="0" fontId="6" fillId="0" borderId="1" xfId="1" applyFont="1" applyBorder="1"/>
    <xf numFmtId="14" fontId="5" fillId="0" borderId="1" xfId="0" applyNumberFormat="1" applyFont="1" applyBorder="1"/>
    <xf numFmtId="164" fontId="5" fillId="0" borderId="6" xfId="0" applyNumberFormat="1" applyFont="1" applyBorder="1"/>
    <xf numFmtId="0" fontId="5" fillId="0" borderId="7" xfId="0" applyFont="1" applyBorder="1"/>
    <xf numFmtId="0" fontId="5" fillId="0" borderId="8" xfId="0" applyFont="1" applyBorder="1"/>
    <xf numFmtId="0" fontId="6" fillId="0" borderId="8" xfId="1" applyFont="1" applyBorder="1"/>
    <xf numFmtId="14" fontId="5" fillId="0" borderId="8" xfId="0" applyNumberFormat="1" applyFont="1" applyBorder="1"/>
    <xf numFmtId="164" fontId="5" fillId="0" borderId="9" xfId="0" applyNumberFormat="1" applyFont="1" applyBorder="1"/>
  </cellXfs>
  <cellStyles count="2">
    <cellStyle name="Hyperlink" xfId="1" builtinId="8"/>
    <cellStyle name="Normal" xfId="0" builtinId="0"/>
  </cellStyles>
  <dxfs count="29">
    <dxf>
      <font>
        <b val="0"/>
        <i val="0"/>
        <strike val="0"/>
        <condense val="0"/>
        <extend val="0"/>
        <outline val="0"/>
        <shadow val="0"/>
        <u val="none"/>
        <vertAlign val="baseline"/>
        <sz val="11"/>
        <color auto="1"/>
        <name val="Aptos Narrow"/>
        <family val="2"/>
        <scheme val="minor"/>
      </font>
      <numFmt numFmtId="164" formatCode="&quot;$&quot;#,##0.00"/>
      <border diagonalUp="0" diagonalDown="0" outline="0">
        <left style="thin">
          <color indexed="64"/>
        </left>
        <right/>
        <top style="thin">
          <color indexed="64"/>
        </top>
        <bottom/>
      </border>
    </dxf>
    <dxf>
      <numFmt numFmtId="19" formatCode="m/d/yyyy"/>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Aptos Narrow"/>
        <family val="2"/>
        <scheme val="minor"/>
      </font>
      <border diagonalUp="0" diagonalDown="0" outline="0">
        <left/>
        <right style="thin">
          <color indexed="64"/>
        </right>
        <top style="thin">
          <color indexed="64"/>
        </top>
        <bottom/>
      </border>
    </dxf>
    <dxf>
      <font>
        <strike val="0"/>
        <outline val="0"/>
        <shadow val="0"/>
        <vertAlign val="baseline"/>
        <sz val="11"/>
        <color auto="1"/>
        <name val="Aptos Narrow"/>
        <family val="2"/>
        <scheme val="minor"/>
      </font>
    </dxf>
    <dxf>
      <font>
        <strike val="0"/>
        <outline val="0"/>
        <shadow val="0"/>
        <vertAlign val="baseline"/>
        <sz val="11"/>
        <color auto="1"/>
        <name val="Aptos Narrow"/>
        <family val="2"/>
        <scheme val="minor"/>
      </font>
      <numFmt numFmtId="164" formatCode="&quot;$&quot;#,##0.00"/>
      <border diagonalUp="0" diagonalDown="0" outline="0">
        <left style="thin">
          <color indexed="64"/>
        </left>
        <right/>
        <top style="thin">
          <color indexed="64"/>
        </top>
        <bottom style="thin">
          <color indexed="64"/>
        </bottom>
      </border>
    </dxf>
    <dxf>
      <font>
        <strike val="0"/>
        <outline val="0"/>
        <shadow val="0"/>
        <vertAlign val="baseline"/>
        <sz val="11"/>
        <color auto="1"/>
        <name val="Aptos Narrow"/>
        <family val="2"/>
        <scheme val="minor"/>
      </font>
      <numFmt numFmtId="19" formatCode="m/d/yyyy"/>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Aptos Narrow"/>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Aptos Narrow"/>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Aptos Narrow"/>
        <family val="2"/>
        <scheme val="minor"/>
      </font>
      <border diagonalUp="0" diagonalDown="0" outline="0">
        <left/>
        <right style="thin">
          <color indexed="64"/>
        </right>
        <top style="thin">
          <color indexed="64"/>
        </top>
        <bottom style="thin">
          <color indexed="64"/>
        </bottom>
      </border>
    </dxf>
    <dxf>
      <font>
        <b/>
        <i/>
        <strike val="0"/>
        <condense val="0"/>
        <extend val="0"/>
        <outline val="0"/>
        <shadow val="0"/>
        <u val="none"/>
        <vertAlign val="baseline"/>
        <sz val="14"/>
        <color theme="1"/>
        <name val="Aptos Narrow"/>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164" formatCode="&quot;$&quot;#,##0.00"/>
      <border diagonalUp="0" diagonalDown="0" outline="0">
        <left style="thin">
          <color indexed="64"/>
        </left>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right style="thin">
          <color indexed="64"/>
        </right>
        <top style="thin">
          <color indexed="64"/>
        </top>
        <bottom/>
      </border>
    </dxf>
    <dxf>
      <numFmt numFmtId="164" formatCode="&quot;$&quot;#,##0.00"/>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strike val="0"/>
        <condense val="0"/>
        <extend val="0"/>
        <outline val="0"/>
        <shadow val="0"/>
        <u val="none"/>
        <vertAlign val="baseline"/>
        <sz val="14"/>
        <color theme="1"/>
        <name val="Aptos Narrow"/>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5" Type="http://schemas.openxmlformats.org/officeDocument/2006/relationships/customXml" Target="../customXml/item4.xml"/><Relationship Id="rId10"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sharedStrings" Target="sharedString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9</xdr:col>
      <xdr:colOff>333375</xdr:colOff>
      <xdr:row>8</xdr:row>
      <xdr:rowOff>52387</xdr:rowOff>
    </xdr:from>
    <xdr:ext cx="65" cy="172227"/>
    <xdr:sp macro="" textlink="">
      <xdr:nvSpPr>
        <xdr:cNvPr id="2" name="TextBox 1">
          <a:extLst>
            <a:ext uri="{FF2B5EF4-FFF2-40B4-BE49-F238E27FC236}">
              <a16:creationId xmlns:a16="http://schemas.microsoft.com/office/drawing/2014/main" id="{B65003C4-414A-E575-3ACD-E334B74817F5}"/>
            </a:ext>
          </a:extLst>
        </xdr:cNvPr>
        <xdr:cNvSpPr txBox="1"/>
      </xdr:nvSpPr>
      <xdr:spPr>
        <a:xfrm>
          <a:off x="5819775" y="15763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9</xdr:col>
      <xdr:colOff>399506</xdr:colOff>
      <xdr:row>9</xdr:row>
      <xdr:rowOff>0</xdr:rowOff>
    </xdr:from>
    <xdr:to>
      <xdr:col>12</xdr:col>
      <xdr:colOff>78377</xdr:colOff>
      <xdr:row>15</xdr:row>
      <xdr:rowOff>81645</xdr:rowOff>
    </xdr:to>
    <mc:AlternateContent xmlns:mc="http://schemas.openxmlformats.org/markup-compatibility/2006">
      <mc:Choice xmlns:sle15="http://schemas.microsoft.com/office/drawing/2012/slicer" Requires="sle15">
        <xdr:graphicFrame macro="">
          <xdr:nvGraphicFramePr>
            <xdr:cNvPr id="2" name="Name">
              <a:extLst>
                <a:ext uri="{FF2B5EF4-FFF2-40B4-BE49-F238E27FC236}">
                  <a16:creationId xmlns:a16="http://schemas.microsoft.com/office/drawing/2014/main" id="{F5EF5E85-CCC2-F6D8-B1FE-003DDEB0C7AF}"/>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7257506" y="1709057"/>
              <a:ext cx="1828800" cy="119198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5.587368749999" backgroundQuery="1" createdVersion="8" refreshedVersion="8" minRefreshableVersion="3" recordCount="0" supportSubquery="1" supportAdvancedDrill="1" xr:uid="{BC63EC9F-EB41-4622-BB71-4CD0C19BFF0B}">
  <cacheSource type="external" connectionId="1"/>
  <cacheFields count="0"/>
  <cacheHierarchies count="15">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Email]" caption="Email" attribute="1" defaultMemberUniqueName="[Table1].[Email].[All]" allUniqueName="[Table1].[Email].[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bill]" caption="bill" attribute="1" defaultMemberUniqueName="[Table1].[bill].[All]" allUniqueName="[Table1].[bill].[All]" dimensionUniqueName="[Table1]"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Email]" caption="Email" attribute="1" defaultMemberUniqueName="[Table2].[Email].[All]" allUniqueName="[Table2].[Email].[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bill]" caption="bill" attribute="1" defaultMemberUniqueName="[Table2].[bill].[All]" allUniqueName="[Table2].[bill].[All]" dimensionUniqueName="[Table2]" displayFolder="" count="0" memberValueDatatype="2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bill]" caption="Sum of bill" measure="1" displayFolder="" measureGroup="Table2" count="0" hidden="1">
      <extLst>
        <ext xmlns:x15="http://schemas.microsoft.com/office/spreadsheetml/2010/11/main" uri="{B97F6D7D-B522-45F9-BDA1-12C45D357490}">
          <x15:cacheHierarchy aggregatedColumn="9"/>
        </ext>
      </extLst>
    </cacheHierarchy>
    <cacheHierarchy uniqueName="[Measures].[Sum of bill 2]" caption="Sum of bill 2" measure="1" displayFolder="" measureGroup="Table1"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5.590243402781" backgroundQuery="1" createdVersion="8" refreshedVersion="8" minRefreshableVersion="3" recordCount="0" supportSubquery="1" supportAdvancedDrill="1" xr:uid="{A4EAE1D9-B7C7-423E-8C1F-18D9252C3725}">
  <cacheSource type="external" connectionId="1"/>
  <cacheFields count="2">
    <cacheField name="[Table1].[Name].[Name]" caption="Name" numFmtId="0" level="1">
      <sharedItems count="3">
        <s v="Ahmed"/>
        <s v="Khaled"/>
        <s v="Youssef"/>
      </sharedItems>
    </cacheField>
    <cacheField name="[Measures].[Sum of bill 2]" caption="Sum of bill 2" numFmtId="0" hierarchy="14" level="32767"/>
  </cacheFields>
  <cacheHierarchies count="15">
    <cacheHierarchy uniqueName="[Table1].[Name]" caption="Name" attribute="1" defaultMemberUniqueName="[Table1].[Name].[All]" allUniqueName="[Table1].[Name].[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Email]" caption="Email" attribute="1" defaultMemberUniqueName="[Table1].[Email].[All]" allUniqueName="[Table1].[Email].[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bill]" caption="bill" attribute="1" defaultMemberUniqueName="[Table1].[bill].[All]" allUniqueName="[Table1].[bill].[All]" dimensionUniqueName="[Table1]"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Email]" caption="Email" attribute="1" defaultMemberUniqueName="[Table2].[Email].[All]" allUniqueName="[Table2].[Email].[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bill]" caption="bill" attribute="1" defaultMemberUniqueName="[Table2].[bill].[All]" allUniqueName="[Table2].[bill].[All]" dimensionUniqueName="[Table2]" displayFolder="" count="0" memberValueDatatype="2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bill]" caption="Sum of bill" measure="1" displayFolder="" measureGroup="Table2" count="0" hidden="1">
      <extLst>
        <ext xmlns:x15="http://schemas.microsoft.com/office/spreadsheetml/2010/11/main" uri="{B97F6D7D-B522-45F9-BDA1-12C45D357490}">
          <x15:cacheHierarchy aggregatedColumn="9"/>
        </ext>
      </extLst>
    </cacheHierarchy>
    <cacheHierarchy uniqueName="[Measures].[Sum of bill 2]" caption="Sum of bill 2"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0BFC5D-5008-4CE6-9184-3A0D8E4ED09A}" name="PivotTable1" cacheId="16" applyNumberFormats="0" applyBorderFormats="0" applyFontFormats="0" applyPatternFormats="0" applyAlignmentFormats="0" applyWidthHeightFormats="1" dataCaption="Values" showMissing="0" tag="8ac88ff5-34a1-49a3-8a64-8439b5636919" updatedVersion="8" minRefreshableVersion="3" useAutoFormatting="1" itemPrintTitles="1" createdVersion="8" indent="0" outline="1" outlineData="1" multipleFieldFilters="0" rowHeaderCaption="">
  <location ref="J5:L22" firstHeaderRow="1" firstDataRow="1" firstDataCol="0"/>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011AB7-6624-4468-9E9B-5264D176AA70}"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bill" fld="1"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tart S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211B871-C89A-4974-AF74-0B9633C5AFD8}" sourceName="Name">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0EB21EEE-5ED5-4BEB-ACEF-0186950A75F6}" cache="Slicer_Name" caption="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BE5E0C-DB78-4113-B360-E9361CA76931}" name="Table2" displayName="Table2" ref="D5:H17" totalsRowCount="1" headerRowDxfId="28" headerRowBorderDxfId="27" tableBorderDxfId="26" totalsRowBorderDxfId="25">
  <autoFilter ref="D5:H16" xr:uid="{4BBE5E0C-DB78-4113-B360-E9361CA76931}"/>
  <tableColumns count="5">
    <tableColumn id="1" xr3:uid="{8888B8DE-7E54-498A-A083-450F98B60048}" name="Name" totalsRowLabel="Total" dataDxfId="24" totalsRowDxfId="19"/>
    <tableColumn id="2" xr3:uid="{24646FC8-F849-45D8-A218-B07502A41B4C}" name="Age" totalsRowFunction="custom" dataDxfId="23" totalsRowDxfId="18">
      <totalsRowFormula>AVERAGE(Table2[Age])</totalsRowFormula>
    </tableColumn>
    <tableColumn id="3" xr3:uid="{352ADEF0-AB55-48AB-8179-795C52A80FF3}" name="Email" dataDxfId="22" totalsRowDxfId="17"/>
    <tableColumn id="4" xr3:uid="{335CBF11-4970-49A9-81BF-2848B9802622}" name="Date" dataDxfId="21" totalsRowDxfId="16"/>
    <tableColumn id="5" xr3:uid="{CF84AD48-CF68-439A-887B-2D788DDF6B02}" name="bill" totalsRowFunction="custom" dataDxfId="20" totalsRowDxfId="15">
      <totalsRowFormula>SUM(Table2[bill])</totalsRow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0F170-F389-48EA-9AC0-5D8041A6E283}" name="Table1" displayName="Table1" ref="D5:H17" totalsRowCount="1" headerRowDxfId="11" dataDxfId="5" headerRowBorderDxfId="13" tableBorderDxfId="14" totalsRowBorderDxfId="12">
  <autoFilter ref="D5:H16" xr:uid="{7E00F170-F389-48EA-9AC0-5D8041A6E283}"/>
  <tableColumns count="5">
    <tableColumn id="1" xr3:uid="{744C8378-D602-42A9-9A42-3D81F0180E91}" name="Name" totalsRowLabel="Total" dataDxfId="10" totalsRowDxfId="4"/>
    <tableColumn id="2" xr3:uid="{0BE91565-4D89-4696-AA97-8EBC43CFFD91}" name="Age" totalsRowFunction="custom" dataDxfId="9" totalsRowDxfId="3">
      <totalsRowFormula>AVERAGE(Table1[Age])</totalsRowFormula>
    </tableColumn>
    <tableColumn id="3" xr3:uid="{D133C0DD-D3E2-4E23-A8D0-3AAC2678D810}" name="Email" dataDxfId="8" totalsRowDxfId="2" dataCellStyle="Hyperlink" totalsRowCellStyle="Hyperlink"/>
    <tableColumn id="4" xr3:uid="{37FABFCE-4385-4AA3-A29E-B1836243492B}" name="Date" dataDxfId="7" totalsRowDxfId="1"/>
    <tableColumn id="5" xr3:uid="{66D238FA-B03F-44AF-8AAA-B02674FD2024}" name="bill" totalsRowFunction="custom" dataDxfId="6" totalsRowDxfId="0">
      <totalsRowFormula>SUM(Table1[bill])</totalsRow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edokhamis29@gmail.com" TargetMode="External"/><Relationship Id="rId2" Type="http://schemas.openxmlformats.org/officeDocument/2006/relationships/hyperlink" Target="mailto:medokhamis29@gmail.com" TargetMode="Externa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medokhamis29@gmail.com" TargetMode="External"/><Relationship Id="rId2" Type="http://schemas.openxmlformats.org/officeDocument/2006/relationships/hyperlink" Target="mailto:medokhamis29@gmail.com" TargetMode="Externa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table" Target="../tables/table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35E7E-5DF5-4A22-877A-5D008EA94B50}">
  <dimension ref="D4:L22"/>
  <sheetViews>
    <sheetView topLeftCell="B4" zoomScale="115" zoomScaleNormal="115" workbookViewId="0">
      <selection activeCell="D5" sqref="D5"/>
    </sheetView>
  </sheetViews>
  <sheetFormatPr defaultRowHeight="14.4" x14ac:dyDescent="0.3"/>
  <cols>
    <col min="4" max="4" width="14" bestFit="1" customWidth="1"/>
    <col min="5" max="5" width="9.33203125" bestFit="1" customWidth="1"/>
    <col min="6" max="6" width="29" bestFit="1" customWidth="1"/>
    <col min="7" max="7" width="11.33203125" bestFit="1" customWidth="1"/>
    <col min="8" max="8" width="11.109375" bestFit="1" customWidth="1"/>
    <col min="10" max="10" width="9.77734375" bestFit="1" customWidth="1"/>
    <col min="11" max="11" width="10.5546875" bestFit="1" customWidth="1"/>
    <col min="12" max="12" width="16.88671875" bestFit="1" customWidth="1"/>
    <col min="13" max="13" width="11.33203125" bestFit="1" customWidth="1"/>
  </cols>
  <sheetData>
    <row r="4" spans="4:12" x14ac:dyDescent="0.3">
      <c r="D4" s="1"/>
    </row>
    <row r="5" spans="4:12" ht="18" x14ac:dyDescent="0.35">
      <c r="D5" s="2" t="s">
        <v>0</v>
      </c>
      <c r="E5" s="3" t="s">
        <v>1</v>
      </c>
      <c r="F5" s="3" t="s">
        <v>2</v>
      </c>
      <c r="G5" s="3" t="s">
        <v>3</v>
      </c>
      <c r="H5" s="4" t="s">
        <v>4</v>
      </c>
      <c r="J5" s="16"/>
      <c r="K5" s="17"/>
      <c r="L5" s="18"/>
    </row>
    <row r="6" spans="4:12" x14ac:dyDescent="0.3">
      <c r="D6" s="5" t="s">
        <v>5</v>
      </c>
      <c r="E6" s="6">
        <v>25</v>
      </c>
      <c r="F6" s="9" t="s">
        <v>12</v>
      </c>
      <c r="G6" s="11">
        <v>45956</v>
      </c>
      <c r="H6" s="10">
        <v>2500</v>
      </c>
      <c r="J6" s="19"/>
      <c r="K6" s="20"/>
      <c r="L6" s="21"/>
    </row>
    <row r="7" spans="4:12" x14ac:dyDescent="0.3">
      <c r="D7" s="5" t="s">
        <v>6</v>
      </c>
      <c r="E7" s="6">
        <v>23</v>
      </c>
      <c r="F7" s="9" t="s">
        <v>12</v>
      </c>
      <c r="G7" s="11">
        <v>45951</v>
      </c>
      <c r="H7" s="10">
        <v>3000</v>
      </c>
      <c r="J7" s="19"/>
      <c r="K7" s="20"/>
      <c r="L7" s="21"/>
    </row>
    <row r="8" spans="4:12" x14ac:dyDescent="0.3">
      <c r="D8" s="5" t="s">
        <v>7</v>
      </c>
      <c r="E8" s="6">
        <v>21</v>
      </c>
      <c r="F8" s="9" t="s">
        <v>12</v>
      </c>
      <c r="G8" s="11">
        <v>45946</v>
      </c>
      <c r="H8" s="10">
        <v>3500</v>
      </c>
      <c r="J8" s="19"/>
      <c r="K8" s="20"/>
      <c r="L8" s="21"/>
    </row>
    <row r="9" spans="4:12" x14ac:dyDescent="0.3">
      <c r="D9" s="5" t="s">
        <v>5</v>
      </c>
      <c r="E9" s="6">
        <v>25</v>
      </c>
      <c r="F9" s="9" t="s">
        <v>12</v>
      </c>
      <c r="G9" s="11">
        <v>45941</v>
      </c>
      <c r="H9" s="10">
        <v>4000</v>
      </c>
      <c r="J9" s="19"/>
      <c r="K9" s="20"/>
      <c r="L9" s="21"/>
    </row>
    <row r="10" spans="4:12" x14ac:dyDescent="0.3">
      <c r="D10" s="5" t="s">
        <v>6</v>
      </c>
      <c r="E10" s="6">
        <v>23</v>
      </c>
      <c r="F10" s="9" t="s">
        <v>12</v>
      </c>
      <c r="G10" s="11">
        <v>45936</v>
      </c>
      <c r="H10" s="10">
        <v>4500</v>
      </c>
      <c r="J10" s="19"/>
      <c r="K10" s="20"/>
      <c r="L10" s="21"/>
    </row>
    <row r="11" spans="4:12" x14ac:dyDescent="0.3">
      <c r="D11" s="5" t="s">
        <v>7</v>
      </c>
      <c r="E11" s="6">
        <v>21</v>
      </c>
      <c r="F11" s="9" t="s">
        <v>12</v>
      </c>
      <c r="G11" s="11">
        <v>45931</v>
      </c>
      <c r="H11" s="10">
        <v>5000</v>
      </c>
      <c r="J11" s="19"/>
      <c r="K11" s="20"/>
      <c r="L11" s="21"/>
    </row>
    <row r="12" spans="4:12" x14ac:dyDescent="0.3">
      <c r="D12" s="5" t="s">
        <v>5</v>
      </c>
      <c r="E12" s="6">
        <v>25</v>
      </c>
      <c r="F12" s="9" t="s">
        <v>12</v>
      </c>
      <c r="G12" s="11">
        <v>45926</v>
      </c>
      <c r="H12" s="10">
        <v>5500</v>
      </c>
      <c r="J12" s="19"/>
      <c r="K12" s="20"/>
      <c r="L12" s="21"/>
    </row>
    <row r="13" spans="4:12" x14ac:dyDescent="0.3">
      <c r="D13" s="5" t="s">
        <v>6</v>
      </c>
      <c r="E13" s="6">
        <v>23</v>
      </c>
      <c r="F13" s="9" t="s">
        <v>12</v>
      </c>
      <c r="G13" s="11">
        <v>45921</v>
      </c>
      <c r="H13" s="10">
        <v>6000</v>
      </c>
      <c r="J13" s="19"/>
      <c r="K13" s="20"/>
      <c r="L13" s="21"/>
    </row>
    <row r="14" spans="4:12" x14ac:dyDescent="0.3">
      <c r="D14" s="5" t="s">
        <v>7</v>
      </c>
      <c r="E14" s="6">
        <v>21</v>
      </c>
      <c r="F14" s="9" t="s">
        <v>12</v>
      </c>
      <c r="G14" s="11">
        <v>45916</v>
      </c>
      <c r="H14" s="10">
        <v>6500</v>
      </c>
      <c r="J14" s="19"/>
      <c r="K14" s="20"/>
      <c r="L14" s="21"/>
    </row>
    <row r="15" spans="4:12" x14ac:dyDescent="0.3">
      <c r="D15" s="5" t="s">
        <v>5</v>
      </c>
      <c r="E15" s="6">
        <v>25</v>
      </c>
      <c r="F15" s="9" t="s">
        <v>12</v>
      </c>
      <c r="G15" s="11">
        <v>45911</v>
      </c>
      <c r="H15" s="10">
        <v>7000</v>
      </c>
      <c r="J15" s="19"/>
      <c r="K15" s="20"/>
      <c r="L15" s="21"/>
    </row>
    <row r="16" spans="4:12" x14ac:dyDescent="0.3">
      <c r="D16" s="5" t="s">
        <v>6</v>
      </c>
      <c r="E16" s="6">
        <v>23</v>
      </c>
      <c r="F16" s="9" t="s">
        <v>12</v>
      </c>
      <c r="G16" s="11">
        <v>45906</v>
      </c>
      <c r="H16" s="10">
        <v>7500</v>
      </c>
      <c r="J16" s="19"/>
      <c r="K16" s="20"/>
      <c r="L16" s="21"/>
    </row>
    <row r="17" spans="4:12" x14ac:dyDescent="0.3">
      <c r="D17" s="7" t="s">
        <v>8</v>
      </c>
      <c r="E17" s="8">
        <f>AVERAGE(Table2[Age])</f>
        <v>23.181818181818183</v>
      </c>
      <c r="F17" s="8"/>
      <c r="G17" s="8"/>
      <c r="H17" s="12">
        <f>SUM(Table2[bill])</f>
        <v>55000</v>
      </c>
      <c r="J17" s="19"/>
      <c r="K17" s="20"/>
      <c r="L17" s="21"/>
    </row>
    <row r="18" spans="4:12" x14ac:dyDescent="0.3">
      <c r="J18" s="19"/>
      <c r="K18" s="20"/>
      <c r="L18" s="21"/>
    </row>
    <row r="19" spans="4:12" x14ac:dyDescent="0.3">
      <c r="J19" s="19"/>
      <c r="K19" s="20"/>
      <c r="L19" s="21"/>
    </row>
    <row r="20" spans="4:12" x14ac:dyDescent="0.3">
      <c r="J20" s="19"/>
      <c r="K20" s="20"/>
      <c r="L20" s="21"/>
    </row>
    <row r="21" spans="4:12" x14ac:dyDescent="0.3">
      <c r="J21" s="19"/>
      <c r="K21" s="20"/>
      <c r="L21" s="21"/>
    </row>
    <row r="22" spans="4:12" x14ac:dyDescent="0.3">
      <c r="J22" s="22"/>
      <c r="K22" s="23"/>
      <c r="L22" s="24"/>
    </row>
  </sheetData>
  <phoneticPr fontId="4" type="noConversion"/>
  <hyperlinks>
    <hyperlink ref="F6" r:id="rId2" xr:uid="{E4819A8E-59EB-4B7A-A8A6-5436720DE3F2}"/>
    <hyperlink ref="F7:F16" r:id="rId3" display="medokhamis29@gmail.com" xr:uid="{E17B4197-978A-4D03-B4EB-37211630864D}"/>
  </hyperlinks>
  <pageMargins left="0.7" right="0.7" top="0.75" bottom="0.75" header="0.3" footer="0.3"/>
  <pageSetup orientation="portrait" r:id="rId4"/>
  <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07168-F7D8-46C8-814C-DD0F878F93E9}">
  <dimension ref="D5:L18"/>
  <sheetViews>
    <sheetView tabSelected="1" topLeftCell="A2" zoomScale="140" zoomScaleNormal="140" workbookViewId="0">
      <selection activeCell="N14" sqref="N14"/>
    </sheetView>
  </sheetViews>
  <sheetFormatPr defaultRowHeight="14.4" x14ac:dyDescent="0.3"/>
  <cols>
    <col min="6" max="6" width="26.109375" customWidth="1"/>
    <col min="7" max="7" width="10.33203125" bestFit="1" customWidth="1"/>
    <col min="8" max="8" width="10.21875" bestFit="1" customWidth="1"/>
    <col min="11" max="11" width="12.44140625" bestFit="1" customWidth="1"/>
    <col min="12" max="12" width="10" bestFit="1" customWidth="1"/>
  </cols>
  <sheetData>
    <row r="5" spans="4:12" ht="18" x14ac:dyDescent="0.35">
      <c r="D5" s="2" t="s">
        <v>0</v>
      </c>
      <c r="E5" s="3" t="s">
        <v>1</v>
      </c>
      <c r="F5" s="3" t="s">
        <v>2</v>
      </c>
      <c r="G5" s="3" t="s">
        <v>3</v>
      </c>
      <c r="H5" s="4" t="s">
        <v>4</v>
      </c>
      <c r="K5" s="13" t="s">
        <v>10</v>
      </c>
      <c r="L5" t="s">
        <v>11</v>
      </c>
    </row>
    <row r="6" spans="4:12" x14ac:dyDescent="0.3">
      <c r="D6" s="28" t="s">
        <v>5</v>
      </c>
      <c r="E6" s="29">
        <v>25</v>
      </c>
      <c r="F6" s="30" t="s">
        <v>12</v>
      </c>
      <c r="G6" s="31">
        <v>45956</v>
      </c>
      <c r="H6" s="32">
        <v>2500</v>
      </c>
      <c r="K6" s="14" t="s">
        <v>6</v>
      </c>
      <c r="L6" s="15">
        <v>21000</v>
      </c>
    </row>
    <row r="7" spans="4:12" x14ac:dyDescent="0.3">
      <c r="D7" s="28" t="s">
        <v>6</v>
      </c>
      <c r="E7" s="29">
        <v>23</v>
      </c>
      <c r="F7" s="30" t="s">
        <v>12</v>
      </c>
      <c r="G7" s="31">
        <v>45951</v>
      </c>
      <c r="H7" s="32">
        <v>3000</v>
      </c>
      <c r="K7" s="14" t="s">
        <v>7</v>
      </c>
      <c r="L7" s="15">
        <v>15000</v>
      </c>
    </row>
    <row r="8" spans="4:12" x14ac:dyDescent="0.3">
      <c r="D8" s="28" t="s">
        <v>7</v>
      </c>
      <c r="E8" s="29">
        <v>21</v>
      </c>
      <c r="F8" s="30" t="s">
        <v>12</v>
      </c>
      <c r="G8" s="31">
        <v>45946</v>
      </c>
      <c r="H8" s="32">
        <v>3500</v>
      </c>
      <c r="K8" s="14" t="s">
        <v>5</v>
      </c>
      <c r="L8" s="15">
        <v>19000</v>
      </c>
    </row>
    <row r="9" spans="4:12" x14ac:dyDescent="0.3">
      <c r="D9" s="28" t="s">
        <v>5</v>
      </c>
      <c r="E9" s="29">
        <v>25</v>
      </c>
      <c r="F9" s="30" t="s">
        <v>12</v>
      </c>
      <c r="G9" s="31">
        <v>45971</v>
      </c>
      <c r="H9" s="32">
        <v>4000</v>
      </c>
      <c r="K9" s="14" t="s">
        <v>9</v>
      </c>
      <c r="L9" s="15">
        <v>55000</v>
      </c>
    </row>
    <row r="10" spans="4:12" x14ac:dyDescent="0.3">
      <c r="D10" s="28" t="s">
        <v>6</v>
      </c>
      <c r="E10" s="29">
        <v>23</v>
      </c>
      <c r="F10" s="30" t="s">
        <v>12</v>
      </c>
      <c r="G10" s="31">
        <v>45818</v>
      </c>
      <c r="H10" s="32">
        <v>4500</v>
      </c>
    </row>
    <row r="11" spans="4:12" x14ac:dyDescent="0.3">
      <c r="D11" s="28" t="s">
        <v>7</v>
      </c>
      <c r="E11" s="29">
        <v>21</v>
      </c>
      <c r="F11" s="30" t="s">
        <v>12</v>
      </c>
      <c r="G11" s="31">
        <v>45667</v>
      </c>
      <c r="H11" s="32">
        <v>5000</v>
      </c>
    </row>
    <row r="12" spans="4:12" x14ac:dyDescent="0.3">
      <c r="D12" s="28" t="s">
        <v>5</v>
      </c>
      <c r="E12" s="29">
        <v>25</v>
      </c>
      <c r="F12" s="30" t="s">
        <v>12</v>
      </c>
      <c r="G12" s="31">
        <v>45926</v>
      </c>
      <c r="H12" s="32">
        <v>5500</v>
      </c>
    </row>
    <row r="13" spans="4:12" x14ac:dyDescent="0.3">
      <c r="D13" s="28" t="s">
        <v>6</v>
      </c>
      <c r="E13" s="29">
        <v>23</v>
      </c>
      <c r="F13" s="30" t="s">
        <v>12</v>
      </c>
      <c r="G13" s="31">
        <v>45921</v>
      </c>
      <c r="H13" s="32">
        <v>6000</v>
      </c>
    </row>
    <row r="14" spans="4:12" x14ac:dyDescent="0.3">
      <c r="D14" s="28" t="s">
        <v>7</v>
      </c>
      <c r="E14" s="29">
        <v>21</v>
      </c>
      <c r="F14" s="30" t="s">
        <v>12</v>
      </c>
      <c r="G14" s="31">
        <v>45916</v>
      </c>
      <c r="H14" s="32">
        <v>6500</v>
      </c>
    </row>
    <row r="15" spans="4:12" x14ac:dyDescent="0.3">
      <c r="D15" s="28" t="s">
        <v>5</v>
      </c>
      <c r="E15" s="29">
        <v>25</v>
      </c>
      <c r="F15" s="30" t="s">
        <v>12</v>
      </c>
      <c r="G15" s="31">
        <v>45970</v>
      </c>
      <c r="H15" s="32">
        <v>7000</v>
      </c>
    </row>
    <row r="16" spans="4:12" x14ac:dyDescent="0.3">
      <c r="D16" s="33" t="s">
        <v>6</v>
      </c>
      <c r="E16" s="34">
        <v>23</v>
      </c>
      <c r="F16" s="35" t="s">
        <v>12</v>
      </c>
      <c r="G16" s="36">
        <v>45817</v>
      </c>
      <c r="H16" s="37">
        <v>7500</v>
      </c>
    </row>
    <row r="17" spans="4:8" x14ac:dyDescent="0.3">
      <c r="D17" s="33" t="s">
        <v>8</v>
      </c>
      <c r="E17" s="8">
        <f>AVERAGE(Table1[Age])</f>
        <v>23.181818181818183</v>
      </c>
      <c r="F17" s="25"/>
      <c r="G17" s="26"/>
      <c r="H17" s="37">
        <f>SUM(Table1[bill])</f>
        <v>55000</v>
      </c>
    </row>
    <row r="18" spans="4:8" x14ac:dyDescent="0.3">
      <c r="H18" s="27"/>
    </row>
  </sheetData>
  <hyperlinks>
    <hyperlink ref="F6" r:id="rId2" xr:uid="{5793D0D1-582E-4907-A326-1B690E1C719F}"/>
    <hyperlink ref="F7:F16" r:id="rId3" display="medokhamis29@gmail.com" xr:uid="{CD893BCC-4AE2-45C0-8010-EBC9983D746A}"/>
  </hyperlinks>
  <pageMargins left="0.7" right="0.7" top="0.75" bottom="0.75" header="0.3" footer="0.3"/>
  <drawing r:id="rId4"/>
  <tableParts count="1">
    <tablePart r:id="rId5"/>
  </tableParts>
  <extLst>
    <ext xmlns:x15="http://schemas.microsoft.com/office/spreadsheetml/2010/11/main" uri="{3A4CF648-6AED-40f4-86FF-DC5316D8AED3}">
      <x14:slicerList xmlns:x14="http://schemas.microsoft.com/office/spreadsheetml/2009/9/main">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CB492FA8-557C-4E0B-B30E-1014DCD7D6AC}">
  <ds:schemaRefs/>
</ds:datastoreItem>
</file>

<file path=customXml/itemProps2.xml><?xml version="1.0" encoding="utf-8"?>
<ds:datastoreItem xmlns:ds="http://schemas.openxmlformats.org/officeDocument/2006/customXml" ds:itemID="{430403BF-9241-4F9C-AFD5-E0A4E8D877CA}">
  <ds:schemaRefs/>
</ds:datastoreItem>
</file>

<file path=customXml/itemProps3.xml><?xml version="1.0" encoding="utf-8"?>
<ds:datastoreItem xmlns:ds="http://schemas.openxmlformats.org/officeDocument/2006/customXml" ds:itemID="{08F741ED-9B84-4976-80B2-F8E372960786}">
  <ds:schemaRefs/>
</ds:datastoreItem>
</file>

<file path=customXml/itemProps4.xml><?xml version="1.0" encoding="utf-8"?>
<ds:datastoreItem xmlns:ds="http://schemas.openxmlformats.org/officeDocument/2006/customXml" ds:itemID="{3508A55D-8BFD-4C48-8A5A-186D626FDE6A}">
  <ds:schemaRefs/>
</ds:datastoreItem>
</file>

<file path=customXml/itemProps5.xml><?xml version="1.0" encoding="utf-8"?>
<ds:datastoreItem xmlns:ds="http://schemas.openxmlformats.org/officeDocument/2006/customXml" ds:itemID="{751793A3-54FB-4DA9-A75B-860AEF862F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table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Elbadry</dc:creator>
  <cp:lastModifiedBy>Mohamed Reda</cp:lastModifiedBy>
  <dcterms:created xsi:type="dcterms:W3CDTF">2025-10-26T16:46:13Z</dcterms:created>
  <dcterms:modified xsi:type="dcterms:W3CDTF">2026-02-02T12:34:42Z</dcterms:modified>
</cp:coreProperties>
</file>