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achine learning\Excel\"/>
    </mc:Choice>
  </mc:AlternateContent>
  <xr:revisionPtr revIDLastSave="0" documentId="8_{436636B7-C070-4E25-ABD0-F47F0AE901E8}" xr6:coauthVersionLast="47" xr6:coauthVersionMax="47" xr10:uidLastSave="{00000000-0000-0000-0000-000000000000}"/>
  <bookViews>
    <workbookView xWindow="-108" yWindow="-108" windowWidth="23256" windowHeight="12456" activeTab="1" xr2:uid="{8CC555B5-3E06-43B6-9E5B-C0A1D3498DA4}"/>
  </bookViews>
  <sheets>
    <sheet name="Data" sheetId="9" r:id="rId1"/>
    <sheet name="Error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9" l="1"/>
  <c r="P5" i="9"/>
  <c r="P6" i="9"/>
  <c r="P7" i="9"/>
  <c r="P8" i="9"/>
  <c r="P9" i="9"/>
  <c r="P10" i="9"/>
  <c r="P11" i="9"/>
  <c r="P12" i="9"/>
  <c r="P3" i="9"/>
  <c r="E17" i="9"/>
  <c r="D17" i="9"/>
  <c r="C17" i="9"/>
  <c r="E16" i="9"/>
  <c r="D16" i="9"/>
  <c r="C16" i="9"/>
  <c r="E15" i="9"/>
  <c r="D15" i="9"/>
  <c r="C15" i="9"/>
  <c r="E14" i="9"/>
  <c r="D14" i="9"/>
  <c r="C14" i="9"/>
  <c r="E13" i="9"/>
  <c r="D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M12" i="9" l="1"/>
  <c r="J12" i="9"/>
  <c r="J11" i="9"/>
  <c r="M11" i="9"/>
  <c r="M10" i="9"/>
  <c r="J10" i="9"/>
  <c r="J9" i="9"/>
  <c r="M9" i="9"/>
  <c r="J8" i="9"/>
  <c r="M8" i="9"/>
  <c r="O8" i="9" s="1"/>
  <c r="O7" i="9"/>
  <c r="N7" i="9"/>
  <c r="J6" i="9"/>
  <c r="M6" i="9"/>
  <c r="J5" i="9"/>
  <c r="M5" i="9"/>
  <c r="J4" i="9"/>
  <c r="M4" i="9"/>
  <c r="M3" i="9"/>
  <c r="J3" i="9"/>
  <c r="N8" i="9" l="1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<sst xmlns="http://schemas.openxmlformats.org/spreadsheetml/2006/main" count="52" uniqueCount="51">
  <si>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</si>
  <si>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</si>
  <si>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</si>
  <si>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</si>
  <si>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</si>
  <si>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</si>
  <si>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</si>
  <si>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</si>
  <si>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</si>
  <si>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</si>
  <si>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</si>
  <si>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</si>
  <si>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</si>
  <si>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</si>
  <si>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</si>
  <si>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</si>
  <si>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</si>
  <si>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</si>
  <si>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</si>
  <si>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</si>
  <si>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</si>
  <si>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</si>
  <si>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</si>
  <si>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</si>
  <si>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</si>
  <si>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</si>
  <si>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</si>
  <si>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</si>
  <si>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</si>
  <si>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</si>
  <si>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</si>
  <si>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</si>
  <si>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</si>
  <si>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</si>
  <si>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</si>
  <si>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</si>
  <si>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</si>
  <si>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</si>
  <si>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</si>
  <si>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</si>
  <si>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</si>
  <si>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</si>
  <si>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</si>
  <si>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</si>
  <si>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</si>
  <si>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</si>
  <si>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</si>
  <si>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</si>
  <si>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</si>
  <si>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Bonas Max (&lt;=)</t>
  </si>
  <si>
    <t>تحاول الصيغة استخدام تقاطع نطاقين غير متقاطعين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</si>
</sst>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2" fillId="0" borderId="11" xfId="0" applyFont="1" applyBorder="1"/>
    <xf numFmtId="0" fontId="3" fillId="0" borderId="14" xfId="0" applyFont="1" applyBorder="1" applyAlignment="1">
      <alignment horizontal="center" wrapText="1"/>
    </xf>
    <xf numFmtId="0" fontId="2" fillId="0" borderId="14" xfId="0" applyFont="1" applyBorder="1"/>
    <xf numFmtId="164" fontId="2" fillId="0" borderId="14" xfId="1" applyNumberFormat="1" applyFont="1" applyBorder="1" applyAlignment="1"/>
    <xf numFmtId="0" fontId="2" fillId="0" borderId="14" xfId="1" applyNumberFormat="1" applyFont="1" applyBorder="1" applyAlignment="1"/>
    <xf numFmtId="0" fontId="3" fillId="0" borderId="15" xfId="0" applyFont="1" applyBorder="1" applyAlignment="1">
      <alignment horizontal="center" wrapText="1"/>
    </xf>
    <xf numFmtId="0" fontId="2" fillId="0" borderId="15" xfId="0" applyFont="1" applyBorder="1"/>
    <xf numFmtId="0" fontId="3" fillId="0" borderId="16" xfId="0" applyFont="1" applyBorder="1" applyAlignment="1">
      <alignment horizontal="center" wrapText="1"/>
    </xf>
    <xf numFmtId="0" fontId="2" fillId="0" borderId="17" xfId="0" applyFont="1" applyBorder="1"/>
    <xf numFmtId="0" fontId="3" fillId="0" borderId="18" xfId="0" applyFont="1" applyBorder="1"/>
    <xf numFmtId="0" fontId="2" fillId="0" borderId="19" xfId="0" applyFont="1" applyBorder="1"/>
    <xf numFmtId="0" fontId="3" fillId="0" borderId="10" xfId="0" applyFont="1" applyBorder="1"/>
    <xf numFmtId="0" fontId="2" fillId="0" borderId="12" xfId="0" applyFont="1" applyBorder="1"/>
    <xf numFmtId="0" fontId="3" fillId="0" borderId="5" xfId="0" applyFont="1" applyBorder="1"/>
    <xf numFmtId="0" fontId="2" fillId="3" borderId="6" xfId="0" applyFont="1" applyFill="1" applyBorder="1"/>
    <xf numFmtId="0" fontId="2" fillId="0" borderId="8" xfId="0" applyFont="1" applyBorder="1"/>
    <xf numFmtId="0" fontId="2" fillId="3" borderId="9" xfId="0" applyFont="1" applyFill="1" applyBorder="1"/>
    <xf numFmtId="0" fontId="3" fillId="0" borderId="20" xfId="0" applyFont="1" applyBorder="1"/>
    <xf numFmtId="0" fontId="2" fillId="0" borderId="21" xfId="0" applyFont="1" applyBorder="1"/>
    <xf numFmtId="0" fontId="5" fillId="4" borderId="1" xfId="0" applyFont="1" applyFill="1" applyBorder="1"/>
    <xf numFmtId="0" fontId="5" fillId="4" borderId="0" xfId="0" applyFont="1" applyFill="1"/>
    <xf numFmtId="0" fontId="5" fillId="4" borderId="1" xfId="0" quotePrefix="1" applyFont="1" applyFill="1" applyBorder="1"/>
    <xf numFmtId="0" fontId="5" fillId="4" borderId="1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O9" sqref="O9"/>
    </sheetView>
  </sheetViews>
  <sheetFormatPr defaultColWidth="9" defaultRowHeight="14.4" x14ac:dyDescent="0.3"/>
  <cols>
    <col min="1" max="1" width="5.109375" style="1" customWidth="1"/>
    <col min="2" max="2" width="23.6640625" style="1" customWidth="1"/>
    <col min="3" max="3" width="10.44140625" style="1" customWidth="1"/>
    <col min="4" max="4" width="12.21875" style="1" customWidth="1"/>
    <col min="5" max="5" width="19.4414062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3.109375" style="1" customWidth="1"/>
    <col min="13" max="13" width="13.21875" style="1" customWidth="1"/>
    <col min="14" max="14" width="18.21875" style="1" customWidth="1"/>
    <col min="15" max="15" width="14.109375" style="1" customWidth="1"/>
    <col min="16" max="16" width="11.88671875" style="1" customWidth="1"/>
    <col min="17" max="17" width="9" style="1"/>
    <col min="18" max="18" width="14.6640625" style="1" bestFit="1" customWidth="1"/>
    <col min="19" max="16384" width="9" style="1"/>
  </cols>
  <sheetData>
    <row r="1" spans="2:19" ht="15" thickBot="1" x14ac:dyDescent="0.35">
      <c r="G1" s="27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4" t="s">
        <v>15</v>
      </c>
      <c r="G2" s="26" t="s">
        <v>14</v>
      </c>
      <c r="H2" s="20" t="s">
        <v>16</v>
      </c>
      <c r="I2" s="20" t="s">
        <v>17</v>
      </c>
      <c r="J2" s="20" t="s">
        <v>19</v>
      </c>
      <c r="K2" s="20" t="s">
        <v>18</v>
      </c>
      <c r="L2" s="20" t="s">
        <v>21</v>
      </c>
      <c r="M2" s="20" t="s">
        <v>20</v>
      </c>
      <c r="N2" s="20" t="s">
        <v>25</v>
      </c>
      <c r="O2" s="20" t="s">
        <v>29</v>
      </c>
      <c r="P2" s="20" t="s">
        <v>26</v>
      </c>
      <c r="R2" s="13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5">
        <f>C3</f>
        <v>5</v>
      </c>
      <c r="G3" s="21">
        <f>D3+E3</f>
        <v>130000</v>
      </c>
      <c r="H3" s="22">
        <f>E3/D3</f>
        <v>8.3333333333333329E-2</v>
      </c>
      <c r="I3" s="23">
        <f>D3+D3*H3</f>
        <v>130000</v>
      </c>
      <c r="J3" s="21" t="b">
        <f>G3=I3</f>
        <v>1</v>
      </c>
      <c r="K3" s="21" t="b">
        <f>E3&gt;D3</f>
        <v>0</v>
      </c>
      <c r="L3" s="21" t="b">
        <f t="shared" ref="L3:L12" si="0">$S$3&lt;=C3</f>
        <v>1</v>
      </c>
      <c r="M3" s="21" t="b">
        <f t="shared" ref="M3:M12" si="1">$G3&gt;=$S$4</f>
        <v>1</v>
      </c>
      <c r="N3" s="21">
        <f>L3*M3</f>
        <v>1</v>
      </c>
      <c r="O3" s="21" t="b">
        <f>L3*M3=1</f>
        <v>1</v>
      </c>
      <c r="P3" s="21" t="b">
        <f>AND(L3,M3)</f>
        <v>1</v>
      </c>
      <c r="R3" s="9" t="s">
        <v>22</v>
      </c>
      <c r="S3" s="10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5">
        <f t="shared" ref="F4:F12" si="2">C4</f>
        <v>4</v>
      </c>
      <c r="G4" s="21">
        <f t="shared" ref="G4:G12" si="3">D4+E4</f>
        <v>147000</v>
      </c>
      <c r="H4" s="22">
        <f t="shared" ref="H4:H12" si="4">E4/D4</f>
        <v>8.8888888888888892E-2</v>
      </c>
      <c r="I4" s="23">
        <f t="shared" ref="I4:I12" si="5">D4+D4*H4</f>
        <v>147000</v>
      </c>
      <c r="J4" s="21" t="b">
        <f t="shared" ref="J4:J12" si="6">G4=I4</f>
        <v>1</v>
      </c>
      <c r="K4" s="21" t="b">
        <f t="shared" ref="K4:K12" si="7">E4&gt;D4</f>
        <v>0</v>
      </c>
      <c r="L4" s="21" t="b">
        <f t="shared" si="0"/>
        <v>0</v>
      </c>
      <c r="M4" s="21" t="b">
        <f t="shared" si="1"/>
        <v>1</v>
      </c>
      <c r="N4" s="21">
        <f t="shared" ref="N4:N12" si="8">L4*M4</f>
        <v>0</v>
      </c>
      <c r="O4" s="21" t="b">
        <f t="shared" ref="O4:O12" si="9">L4*M4=1</f>
        <v>0</v>
      </c>
      <c r="P4" s="21" t="b">
        <f t="shared" ref="P4:P12" si="10">AND(L4,M4)</f>
        <v>0</v>
      </c>
      <c r="R4" s="36" t="s">
        <v>23</v>
      </c>
      <c r="S4" s="37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5">
        <f t="shared" si="2"/>
        <v>2</v>
      </c>
      <c r="G5" s="21">
        <f t="shared" si="3"/>
        <v>80000</v>
      </c>
      <c r="H5" s="22">
        <f t="shared" si="4"/>
        <v>6.6666666666666666E-2</v>
      </c>
      <c r="I5" s="23">
        <f t="shared" si="5"/>
        <v>80000</v>
      </c>
      <c r="J5" s="21" t="b">
        <f t="shared" si="6"/>
        <v>1</v>
      </c>
      <c r="K5" s="21" t="b">
        <f t="shared" si="7"/>
        <v>0</v>
      </c>
      <c r="L5" s="21" t="b">
        <f t="shared" si="0"/>
        <v>0</v>
      </c>
      <c r="M5" s="21" t="b">
        <f t="shared" si="1"/>
        <v>0</v>
      </c>
      <c r="N5" s="21">
        <f t="shared" si="8"/>
        <v>0</v>
      </c>
      <c r="O5" s="21" t="b">
        <f t="shared" si="9"/>
        <v>0</v>
      </c>
      <c r="P5" s="21" t="b">
        <f t="shared" si="10"/>
        <v>0</v>
      </c>
      <c r="R5" s="11" t="s">
        <v>49</v>
      </c>
      <c r="S5" s="12">
        <v>13000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5">
        <f t="shared" si="2"/>
        <v>6</v>
      </c>
      <c r="G6" s="21">
        <f t="shared" si="3"/>
        <v>118000</v>
      </c>
      <c r="H6" s="22">
        <f t="shared" si="4"/>
        <v>7.2727272727272724E-2</v>
      </c>
      <c r="I6" s="23">
        <f t="shared" si="5"/>
        <v>118000</v>
      </c>
      <c r="J6" s="21" t="b">
        <f t="shared" si="6"/>
        <v>1</v>
      </c>
      <c r="K6" s="21" t="b">
        <f t="shared" si="7"/>
        <v>0</v>
      </c>
      <c r="L6" s="21" t="b">
        <f t="shared" si="0"/>
        <v>1</v>
      </c>
      <c r="M6" s="21" t="b">
        <f t="shared" si="1"/>
        <v>1</v>
      </c>
      <c r="N6" s="21">
        <f t="shared" si="8"/>
        <v>1</v>
      </c>
      <c r="O6" s="21" t="b">
        <f t="shared" si="9"/>
        <v>1</v>
      </c>
      <c r="P6" s="21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5">
        <f t="shared" si="2"/>
        <v>3</v>
      </c>
      <c r="G7" s="21">
        <f t="shared" si="3"/>
        <v>136000</v>
      </c>
      <c r="H7" s="22">
        <f t="shared" si="4"/>
        <v>8.7999999999999995E-2</v>
      </c>
      <c r="I7" s="23">
        <f t="shared" si="5"/>
        <v>136000</v>
      </c>
      <c r="J7" s="21" t="b">
        <f t="shared" si="6"/>
        <v>1</v>
      </c>
      <c r="K7" s="21" t="b">
        <f t="shared" si="7"/>
        <v>0</v>
      </c>
      <c r="L7" s="21" t="b">
        <f t="shared" si="0"/>
        <v>0</v>
      </c>
      <c r="M7" s="21" t="b">
        <f t="shared" si="1"/>
        <v>1</v>
      </c>
      <c r="N7" s="21">
        <f t="shared" si="8"/>
        <v>0</v>
      </c>
      <c r="O7" s="21" t="b">
        <f t="shared" si="9"/>
        <v>0</v>
      </c>
      <c r="P7" s="21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5">
        <f t="shared" si="2"/>
        <v>7</v>
      </c>
      <c r="G8" s="21">
        <f t="shared" si="3"/>
        <v>97000</v>
      </c>
      <c r="H8" s="22">
        <f t="shared" si="4"/>
        <v>7.7777777777777779E-2</v>
      </c>
      <c r="I8" s="23">
        <f t="shared" si="5"/>
        <v>97000</v>
      </c>
      <c r="J8" s="21" t="b">
        <f t="shared" si="6"/>
        <v>1</v>
      </c>
      <c r="K8" s="21" t="b">
        <f t="shared" si="7"/>
        <v>0</v>
      </c>
      <c r="L8" s="21" t="b">
        <f t="shared" si="0"/>
        <v>1</v>
      </c>
      <c r="M8" s="21" t="b">
        <f t="shared" si="1"/>
        <v>1</v>
      </c>
      <c r="N8" s="21">
        <f t="shared" si="8"/>
        <v>1</v>
      </c>
      <c r="O8" s="21" t="b">
        <f t="shared" si="9"/>
        <v>1</v>
      </c>
      <c r="P8" s="21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5">
        <f t="shared" si="2"/>
        <v>10</v>
      </c>
      <c r="G9" s="21">
        <f t="shared" si="3"/>
        <v>165000</v>
      </c>
      <c r="H9" s="22">
        <f t="shared" si="4"/>
        <v>0.1</v>
      </c>
      <c r="I9" s="23">
        <f t="shared" si="5"/>
        <v>165000</v>
      </c>
      <c r="J9" s="21" t="b">
        <f t="shared" si="6"/>
        <v>1</v>
      </c>
      <c r="K9" s="21" t="b">
        <f t="shared" si="7"/>
        <v>0</v>
      </c>
      <c r="L9" s="21" t="b">
        <f t="shared" si="0"/>
        <v>1</v>
      </c>
      <c r="M9" s="21" t="b">
        <f t="shared" si="1"/>
        <v>1</v>
      </c>
      <c r="N9" s="21">
        <f t="shared" si="8"/>
        <v>1</v>
      </c>
      <c r="O9" s="21" t="b">
        <f t="shared" si="9"/>
        <v>1</v>
      </c>
      <c r="P9" s="21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5">
        <f t="shared" si="2"/>
        <v>8</v>
      </c>
      <c r="G10" s="21">
        <f t="shared" si="3"/>
        <v>143000</v>
      </c>
      <c r="H10" s="22">
        <f t="shared" si="4"/>
        <v>0.1</v>
      </c>
      <c r="I10" s="23">
        <f t="shared" si="5"/>
        <v>143000</v>
      </c>
      <c r="J10" s="21" t="b">
        <f t="shared" si="6"/>
        <v>1</v>
      </c>
      <c r="K10" s="21" t="b">
        <f t="shared" si="7"/>
        <v>0</v>
      </c>
      <c r="L10" s="21" t="b">
        <f t="shared" si="0"/>
        <v>1</v>
      </c>
      <c r="M10" s="21" t="b">
        <f t="shared" si="1"/>
        <v>1</v>
      </c>
      <c r="N10" s="21">
        <f t="shared" si="8"/>
        <v>1</v>
      </c>
      <c r="O10" s="21" t="b">
        <f t="shared" si="9"/>
        <v>1</v>
      </c>
      <c r="P10" s="21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5">
        <f t="shared" si="2"/>
        <v>3</v>
      </c>
      <c r="G11" s="21">
        <f t="shared" si="3"/>
        <v>154000</v>
      </c>
      <c r="H11" s="22">
        <f t="shared" si="4"/>
        <v>0.1</v>
      </c>
      <c r="I11" s="23">
        <f t="shared" si="5"/>
        <v>154000</v>
      </c>
      <c r="J11" s="21" t="b">
        <f t="shared" si="6"/>
        <v>1</v>
      </c>
      <c r="K11" s="21" t="b">
        <f t="shared" si="7"/>
        <v>0</v>
      </c>
      <c r="L11" s="21" t="b">
        <f t="shared" si="0"/>
        <v>0</v>
      </c>
      <c r="M11" s="21" t="b">
        <f t="shared" si="1"/>
        <v>1</v>
      </c>
      <c r="N11" s="21">
        <f t="shared" si="8"/>
        <v>0</v>
      </c>
      <c r="O11" s="21" t="b">
        <f t="shared" si="9"/>
        <v>0</v>
      </c>
      <c r="P11" s="21" t="b">
        <f t="shared" si="10"/>
        <v>0</v>
      </c>
    </row>
    <row r="12" spans="2:19" ht="15" thickBot="1" x14ac:dyDescent="0.35">
      <c r="B12" s="14" t="s">
        <v>9</v>
      </c>
      <c r="C12" s="15">
        <v>5</v>
      </c>
      <c r="D12" s="15">
        <v>115000</v>
      </c>
      <c r="E12" s="16">
        <v>9000</v>
      </c>
      <c r="F12" s="25">
        <f t="shared" si="2"/>
        <v>5</v>
      </c>
      <c r="G12" s="21">
        <f t="shared" si="3"/>
        <v>124000</v>
      </c>
      <c r="H12" s="22">
        <f t="shared" si="4"/>
        <v>7.8260869565217397E-2</v>
      </c>
      <c r="I12" s="23">
        <f t="shared" si="5"/>
        <v>124000</v>
      </c>
      <c r="J12" s="21" t="b">
        <f t="shared" si="6"/>
        <v>1</v>
      </c>
      <c r="K12" s="21" t="b">
        <f t="shared" si="7"/>
        <v>0</v>
      </c>
      <c r="L12" s="21" t="b">
        <f t="shared" si="0"/>
        <v>1</v>
      </c>
      <c r="M12" s="21" t="b">
        <f t="shared" si="1"/>
        <v>1</v>
      </c>
      <c r="N12" s="21">
        <f t="shared" si="8"/>
        <v>1</v>
      </c>
      <c r="O12" s="21" t="b">
        <f t="shared" si="9"/>
        <v>1</v>
      </c>
      <c r="P12" s="21" t="b">
        <f t="shared" si="10"/>
        <v>1</v>
      </c>
    </row>
    <row r="13" spans="2:19" ht="15" thickTop="1" x14ac:dyDescent="0.3">
      <c r="B13" s="28" t="s">
        <v>27</v>
      </c>
      <c r="C13" s="18">
        <f>(C3+C4+C5+C6+C7+C8+C9+C10+C11+C12)/10</f>
        <v>5.3</v>
      </c>
      <c r="D13" s="18">
        <f>(D3+D4+D5+D6+D7+D8+D9+D11+D10+D12)/10</f>
        <v>119000</v>
      </c>
      <c r="E13" s="29">
        <f>(E3+E4+E5+E6+E7+E8+E9+E10+E11+E12)/10</f>
        <v>10400</v>
      </c>
    </row>
    <row r="14" spans="2:19" ht="15" thickBot="1" x14ac:dyDescent="0.35">
      <c r="B14" s="30" t="s">
        <v>28</v>
      </c>
      <c r="C14" s="19">
        <f>AVERAGE(C3:C12)</f>
        <v>5.3</v>
      </c>
      <c r="D14" s="19">
        <f>AVERAGE(D3:D12)</f>
        <v>119000</v>
      </c>
      <c r="E14" s="31">
        <f>AVERAGE(E3:E12)</f>
        <v>10400</v>
      </c>
    </row>
    <row r="15" spans="2:19" ht="15" thickTop="1" x14ac:dyDescent="0.3">
      <c r="B15" s="28" t="s">
        <v>30</v>
      </c>
      <c r="C15" s="18">
        <f>COUNT(C3:C12)</f>
        <v>10</v>
      </c>
      <c r="D15" s="18">
        <f>COUNT(D3:D12)</f>
        <v>10</v>
      </c>
      <c r="E15" s="29">
        <f>COUNT(E3:E12)</f>
        <v>10</v>
      </c>
    </row>
    <row r="16" spans="2:19" x14ac:dyDescent="0.3">
      <c r="B16" s="32" t="s">
        <v>31</v>
      </c>
      <c r="C16" s="17">
        <f>COUNTIF(C3:C12,"&lt;=5")</f>
        <v>6</v>
      </c>
      <c r="D16" s="17">
        <f>COUNTIF(D3:D12,"&gt;=90000")</f>
        <v>9</v>
      </c>
      <c r="E16" s="33">
        <f>COUNTIF(E3:E12,"&lt;=13000")</f>
        <v>8</v>
      </c>
    </row>
    <row r="17" spans="2:5" ht="15" thickBot="1" x14ac:dyDescent="0.35">
      <c r="B17" s="11" t="s">
        <v>31</v>
      </c>
      <c r="C17" s="34">
        <f>COUNTIF(C3:C12,"&lt;="&amp;S3)</f>
        <v>6</v>
      </c>
      <c r="D17" s="34">
        <f>COUNTIF(D3:D12,"&gt;="&amp;S4)</f>
        <v>9</v>
      </c>
      <c r="E17" s="35">
        <f>COUNTIF(E3:E12,"&lt;="&amp;S5)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E9"/>
  <sheetViews>
    <sheetView tabSelected="1" zoomScale="140" zoomScaleNormal="140" workbookViewId="0">
      <selection activeCell="E4" sqref="E4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4.21875" bestFit="1" customWidth="1"/>
    <col min="5" max="5" width="36.109375" customWidth="1"/>
  </cols>
  <sheetData>
    <row r="2" spans="2:5" x14ac:dyDescent="0.3">
      <c r="B2" s="38" t="s">
        <v>32</v>
      </c>
      <c r="C2" s="38" t="s">
        <v>40</v>
      </c>
      <c r="D2" s="38" t="s">
        <v>33</v>
      </c>
      <c r="E2" s="39"/>
    </row>
    <row r="3" spans="2:5" x14ac:dyDescent="0.3">
      <c r="B3" s="38" t="e">
        <f>1/0</f>
        <v>#DIV/0!</v>
      </c>
      <c r="C3" s="40" t="s">
        <v>41</v>
      </c>
      <c r="D3" s="38" t="s">
        <v>34</v>
      </c>
      <c r="E3" s="39"/>
    </row>
    <row r="4" spans="2:5" x14ac:dyDescent="0.3">
      <c r="B4" s="38" t="e">
        <f>A4 + "text"</f>
        <v>#VALUE!</v>
      </c>
      <c r="C4" s="40" t="s">
        <v>42</v>
      </c>
      <c r="D4" s="38" t="s">
        <v>35</v>
      </c>
      <c r="E4" s="39"/>
    </row>
    <row r="5" spans="2:5" x14ac:dyDescent="0.3">
      <c r="B5" s="41" t="e">
        <f>#REF!</f>
        <v>#REF!</v>
      </c>
      <c r="C5" s="40" t="s">
        <v>43</v>
      </c>
      <c r="D5" s="38" t="s">
        <v>48</v>
      </c>
      <c r="E5" s="39"/>
    </row>
    <row r="6" spans="2:5" x14ac:dyDescent="0.3">
      <c r="B6" s="41" t="e" cm="1">
        <f t="array" aca="1" ref="B6" ca="1">COUNTT(A3:A9)</f>
        <v>#NAME?</v>
      </c>
      <c r="C6" s="40" t="s">
        <v>47</v>
      </c>
      <c r="D6" s="38" t="s">
        <v>36</v>
      </c>
      <c r="E6" s="39"/>
    </row>
    <row r="7" spans="2:5" x14ac:dyDescent="0.3">
      <c r="B7" s="38" t="e">
        <f>VLOOKUP("Value", A1:A10, 2, FALSE)</f>
        <v>#N/A</v>
      </c>
      <c r="C7" s="40" t="s">
        <v>46</v>
      </c>
      <c r="D7" s="38" t="s">
        <v>37</v>
      </c>
      <c r="E7" s="39"/>
    </row>
    <row r="8" spans="2:5" x14ac:dyDescent="0.3">
      <c r="B8" s="38" t="e">
        <f>SQRT(-1)</f>
        <v>#NUM!</v>
      </c>
      <c r="C8" s="40" t="s">
        <v>44</v>
      </c>
      <c r="D8" s="38" t="s">
        <v>38</v>
      </c>
      <c r="E8" s="39"/>
    </row>
    <row r="9" spans="2:5" x14ac:dyDescent="0.3">
      <c r="B9" s="38" t="e">
        <f>SUM(A1:A10 C1:C10)</f>
        <v>#NULL!</v>
      </c>
      <c r="C9" s="40" t="s">
        <v>45</v>
      </c>
      <c r="D9" s="38" t="s">
        <v>39</v>
      </c>
      <c r="E9" s="3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Mohamed Reda</cp:lastModifiedBy>
  <dcterms:created xsi:type="dcterms:W3CDTF">2024-07-16T20:11:02Z</dcterms:created>
  <dcterms:modified xsi:type="dcterms:W3CDTF">2026-02-02T14:23:58Z</dcterms:modified>
</cp:coreProperties>
</file>