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machine learning\Excel\"/>
    </mc:Choice>
  </mc:AlternateContent>
  <xr:revisionPtr revIDLastSave="0" documentId="8_{FEB8B5AB-7D86-453D-ADFA-5677E0FC032B}" xr6:coauthVersionLast="47" xr6:coauthVersionMax="47" xr10:uidLastSave="{00000000-0000-0000-0000-000000000000}"/>
  <bookViews>
    <workbookView xWindow="-108" yWindow="-108" windowWidth="23256" windowHeight="12456" activeTab="1" xr2:uid="{FE76BF01-EF4B-4BAC-9A3B-3F6C14F1DCA1}"/>
  </bookViews>
  <sheets>
    <sheet name="Text Functions" sheetId="2" r:id="rId1"/>
    <sheet name="IF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3" l="1"/>
  <c r="H19" i="3"/>
  <c r="H20" i="3"/>
  <c r="H21" i="3"/>
  <c r="H22" i="3"/>
  <c r="H23" i="3"/>
  <c r="H24" i="3"/>
  <c r="H25" i="3"/>
  <c r="H26" i="3"/>
  <c r="H17" i="3"/>
  <c r="G18" i="3" a="1"/>
  <c r="G18" i="3" s="1"/>
  <c r="G19" i="3" a="1"/>
  <c r="G19" i="3" s="1"/>
  <c r="G20" i="3" a="1"/>
  <c r="G20" i="3" s="1"/>
  <c r="G21" i="3" a="1"/>
  <c r="G21" i="3"/>
  <c r="G22" i="3" a="1"/>
  <c r="G22" i="3" s="1"/>
  <c r="G23" i="3" a="1"/>
  <c r="G23" i="3" s="1"/>
  <c r="G24" i="3" a="1"/>
  <c r="G24" i="3" s="1"/>
  <c r="G25" i="3" a="1"/>
  <c r="G25" i="3" s="1"/>
  <c r="G26" i="3" a="1"/>
  <c r="G26" i="3" s="1"/>
  <c r="G17" i="3" a="1"/>
  <c r="G17" i="3" s="1"/>
  <c r="F2" i="3"/>
  <c r="F3" i="3"/>
  <c r="F4" i="3"/>
  <c r="F5" i="3"/>
  <c r="F6" i="3"/>
  <c r="F7" i="3"/>
  <c r="F8" i="3"/>
  <c r="F9" i="3"/>
  <c r="F10" i="3"/>
  <c r="F11" i="3"/>
  <c r="I4" i="2"/>
  <c r="J16" i="2"/>
  <c r="I15" i="2"/>
  <c r="I16" i="2"/>
  <c r="J15" i="2"/>
  <c r="J14" i="2"/>
  <c r="I14" i="2"/>
  <c r="J13" i="2"/>
  <c r="I13" i="2"/>
  <c r="J12" i="2"/>
  <c r="I12" i="2"/>
  <c r="J11" i="2"/>
  <c r="I11" i="2"/>
  <c r="J10" i="2"/>
  <c r="I10" i="2"/>
  <c r="J9" i="2"/>
  <c r="I9" i="2"/>
  <c r="J8" i="2"/>
  <c r="I8" i="2"/>
  <c r="J7" i="2"/>
  <c r="I7" i="2"/>
  <c r="J6" i="2"/>
  <c r="I6" i="2"/>
  <c r="J5" i="2"/>
  <c r="I5" i="2"/>
  <c r="J4" i="2"/>
  <c r="J3" i="2"/>
  <c r="I3" i="2"/>
  <c r="J2" i="2"/>
  <c r="I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<sst xmlns="http://schemas.openxmlformats.org/spreadsheetml/2006/main" count="154" uniqueCount="61">
  <si>
    <t>ID</t>
  </si>
  <si>
    <t>Full Name</t>
  </si>
  <si>
    <t>Department</t>
  </si>
  <si>
    <t>Email Address</t>
  </si>
  <si>
    <t>Code</t>
  </si>
  <si>
    <t>John Smith</t>
  </si>
  <si>
    <t>Marketing</t>
  </si>
  <si>
    <t>john.smith@company.com</t>
  </si>
  <si>
    <t>MK123</t>
  </si>
  <si>
    <t>Sarah Johnson</t>
  </si>
  <si>
    <t>HR</t>
  </si>
  <si>
    <t>sarah.johnson@company.com</t>
  </si>
  <si>
    <t>HR456</t>
  </si>
  <si>
    <t>Michael Brown</t>
  </si>
  <si>
    <t>Finance</t>
  </si>
  <si>
    <t>michael.brown@company.com</t>
  </si>
  <si>
    <t>FN789</t>
  </si>
  <si>
    <t>Emily Davis</t>
  </si>
  <si>
    <t>IT</t>
  </si>
  <si>
    <t>emily.davis@company.com</t>
  </si>
  <si>
    <t>IT321</t>
  </si>
  <si>
    <t>David Wilson</t>
  </si>
  <si>
    <t>Sales</t>
  </si>
  <si>
    <t>david.wilson@company.com</t>
  </si>
  <si>
    <t>SL654</t>
  </si>
  <si>
    <t>Laura Martinez</t>
  </si>
  <si>
    <t>laura.martinez@company.com</t>
  </si>
  <si>
    <t>HR852</t>
  </si>
  <si>
    <t>Robert Taylor</t>
  </si>
  <si>
    <t>robert.taylor@company.com</t>
  </si>
  <si>
    <t>IT963</t>
  </si>
  <si>
    <t>Linda Anderson</t>
  </si>
  <si>
    <t>linda.anderson@company.com</t>
  </si>
  <si>
    <t>MK147</t>
  </si>
  <si>
    <t>James Thomas</t>
  </si>
  <si>
    <t>james.thomas@company.com</t>
  </si>
  <si>
    <t>FN258</t>
  </si>
  <si>
    <t>Barbara Jackson</t>
  </si>
  <si>
    <t>barbara.jackson@company.com</t>
  </si>
  <si>
    <t>SL369</t>
  </si>
  <si>
    <t>LEFT</t>
  </si>
  <si>
    <t>RIGHT</t>
  </si>
  <si>
    <t>MID</t>
  </si>
  <si>
    <t>LEN</t>
  </si>
  <si>
    <t>UPPER</t>
  </si>
  <si>
    <t>LOWER</t>
  </si>
  <si>
    <t>PROPER</t>
  </si>
  <si>
    <t>CONCAT</t>
  </si>
  <si>
    <t>TEXTJOIN</t>
  </si>
  <si>
    <t>FIND</t>
  </si>
  <si>
    <t>SEARCH</t>
  </si>
  <si>
    <t>REPLACE</t>
  </si>
  <si>
    <t>SUBSTITUTE</t>
  </si>
  <si>
    <t>TRIM</t>
  </si>
  <si>
    <t>VALUE</t>
  </si>
  <si>
    <t>Text Functions</t>
  </si>
  <si>
    <t>IF</t>
  </si>
  <si>
    <t>Mg</t>
  </si>
  <si>
    <t>Fc</t>
  </si>
  <si>
    <t>Ss</t>
  </si>
  <si>
    <t>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</si>
</sst>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8" xfId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0" borderId="0" xfId="0" applyFont="1"/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21">
    <dxf>
      <font>
        <b/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34998626667073579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0" tint="-0.34998626667073579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7D7F77-C7F9-4F5F-908B-36302F0440B4}" name="Table134" displayName="Table134" ref="A1:E11" totalsRowShown="0" headerRowDxfId="20" dataDxfId="18" headerRowBorderDxfId="19" tableBorderDxfId="17" totalsRowBorderDxfId="16">
  <autoFilter ref="A1:E11" xr:uid="{B57D7F77-C7F9-4F5F-908B-36302F0440B4}"/>
  <tableColumns count="5">
    <tableColumn id="1" xr3:uid="{4B18E708-3024-4428-826B-2000440EA715}" name="ID" dataDxfId="15"/>
    <tableColumn id="2" xr3:uid="{BA34D181-5EE6-42ED-B6D9-6AEDEAD393D7}" name="Full Name" dataDxfId="14"/>
    <tableColumn id="3" xr3:uid="{2E4C91AF-1E6B-4F90-89F3-D1C8943F07D6}" name="Department" dataDxfId="13"/>
    <tableColumn id="4" xr3:uid="{C715ED58-C896-4CE2-94A5-488C8E1A3DCC}" name="Email Address" dataDxfId="12" dataCellStyle="Hyperlink"/>
    <tableColumn id="5" xr3:uid="{8C9F2B70-5134-450E-A4F0-1E0955364407}" name="Code" dataDxfId="1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21EEB3-AD4A-4465-A112-BF881722184A}" name="Table13" displayName="Table13" ref="A1:F11" totalsRowShown="0" headerRowDxfId="10" dataDxfId="8" headerRowBorderDxfId="9" tableBorderDxfId="7" totalsRowBorderDxfId="6">
  <autoFilter ref="A1:F11" xr:uid="{CF21EEB3-AD4A-4465-A112-BF881722184A}"/>
  <tableColumns count="6">
    <tableColumn id="1" xr3:uid="{A3B2DA4F-36EA-4771-A93A-E18E79560A96}" name="ID" dataDxfId="5"/>
    <tableColumn id="2" xr3:uid="{FF3561E9-B88E-4C31-BC93-2B51B02ED719}" name="Full Name" dataDxfId="4"/>
    <tableColumn id="3" xr3:uid="{390E0AD8-A11A-4393-BFC2-9777F4707ABB}" name="Department" dataDxfId="3"/>
    <tableColumn id="4" xr3:uid="{816AAAD2-CAC1-4183-9CD6-166D6FDF66EF}" name="Email Address" dataDxfId="2" dataCellStyle="Hyperlink"/>
    <tableColumn id="5" xr3:uid="{48854B77-390A-4AAA-A041-08AC708ECC4B}" name="Code" dataDxfId="1"/>
    <tableColumn id="6" xr3:uid="{2B36F688-D9F3-43C5-A731-3FFC9A26FC24}" name="IF" dataDxfId="0">
      <calculatedColumnFormula>IF(Table13[[#This Row],[Department]]="HR","Human Resources","Others")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arbara.jackson@company.com" TargetMode="External"/><Relationship Id="rId3" Type="http://schemas.openxmlformats.org/officeDocument/2006/relationships/hyperlink" Target="mailto:michael.brown@company.com" TargetMode="External"/><Relationship Id="rId7" Type="http://schemas.openxmlformats.org/officeDocument/2006/relationships/hyperlink" Target="mailto:david.wilson@company.com" TargetMode="External"/><Relationship Id="rId2" Type="http://schemas.openxmlformats.org/officeDocument/2006/relationships/hyperlink" Target="mailto:sarah.johnson@company.com" TargetMode="External"/><Relationship Id="rId1" Type="http://schemas.openxmlformats.org/officeDocument/2006/relationships/hyperlink" Target="mailto:john.smith@company.com" TargetMode="External"/><Relationship Id="rId6" Type="http://schemas.openxmlformats.org/officeDocument/2006/relationships/hyperlink" Target="mailto:laura.martinez@company.com" TargetMode="External"/><Relationship Id="rId11" Type="http://schemas.openxmlformats.org/officeDocument/2006/relationships/table" Target="../tables/table1.xml"/><Relationship Id="rId5" Type="http://schemas.openxmlformats.org/officeDocument/2006/relationships/hyperlink" Target="mailto:robert.taylor@company.com" TargetMode="External"/><Relationship Id="rId10" Type="http://schemas.openxmlformats.org/officeDocument/2006/relationships/hyperlink" Target="mailto:linda.anderson@company.com" TargetMode="External"/><Relationship Id="rId4" Type="http://schemas.openxmlformats.org/officeDocument/2006/relationships/hyperlink" Target="mailto:emily.davis@company.com" TargetMode="External"/><Relationship Id="rId9" Type="http://schemas.openxmlformats.org/officeDocument/2006/relationships/hyperlink" Target="mailto:james.thomas@company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barbara.jackson@company.com" TargetMode="External"/><Relationship Id="rId13" Type="http://schemas.openxmlformats.org/officeDocument/2006/relationships/hyperlink" Target="mailto:michael.brown@company.com" TargetMode="External"/><Relationship Id="rId18" Type="http://schemas.openxmlformats.org/officeDocument/2006/relationships/hyperlink" Target="mailto:barbara.jackson@company.com" TargetMode="External"/><Relationship Id="rId3" Type="http://schemas.openxmlformats.org/officeDocument/2006/relationships/hyperlink" Target="mailto:michael.brown@company.com" TargetMode="External"/><Relationship Id="rId21" Type="http://schemas.openxmlformats.org/officeDocument/2006/relationships/table" Target="../tables/table2.xml"/><Relationship Id="rId7" Type="http://schemas.openxmlformats.org/officeDocument/2006/relationships/hyperlink" Target="mailto:david.wilson@company.com" TargetMode="External"/><Relationship Id="rId12" Type="http://schemas.openxmlformats.org/officeDocument/2006/relationships/hyperlink" Target="mailto:sarah.johnson@company.com" TargetMode="External"/><Relationship Id="rId17" Type="http://schemas.openxmlformats.org/officeDocument/2006/relationships/hyperlink" Target="mailto:david.wilson@company.com" TargetMode="External"/><Relationship Id="rId2" Type="http://schemas.openxmlformats.org/officeDocument/2006/relationships/hyperlink" Target="mailto:sarah.johnson@company.com" TargetMode="External"/><Relationship Id="rId16" Type="http://schemas.openxmlformats.org/officeDocument/2006/relationships/hyperlink" Target="mailto:laura.martinez@company.com" TargetMode="External"/><Relationship Id="rId20" Type="http://schemas.openxmlformats.org/officeDocument/2006/relationships/hyperlink" Target="mailto:linda.anderson@company.com" TargetMode="External"/><Relationship Id="rId1" Type="http://schemas.openxmlformats.org/officeDocument/2006/relationships/hyperlink" Target="mailto:john.smith@company.com" TargetMode="External"/><Relationship Id="rId6" Type="http://schemas.openxmlformats.org/officeDocument/2006/relationships/hyperlink" Target="mailto:laura.martinez@company.com" TargetMode="External"/><Relationship Id="rId11" Type="http://schemas.openxmlformats.org/officeDocument/2006/relationships/hyperlink" Target="mailto:john.smith@company.com" TargetMode="External"/><Relationship Id="rId5" Type="http://schemas.openxmlformats.org/officeDocument/2006/relationships/hyperlink" Target="mailto:robert.taylor@company.com" TargetMode="External"/><Relationship Id="rId15" Type="http://schemas.openxmlformats.org/officeDocument/2006/relationships/hyperlink" Target="mailto:robert.taylor@company.com" TargetMode="External"/><Relationship Id="rId10" Type="http://schemas.openxmlformats.org/officeDocument/2006/relationships/hyperlink" Target="mailto:linda.anderson@company.com" TargetMode="External"/><Relationship Id="rId19" Type="http://schemas.openxmlformats.org/officeDocument/2006/relationships/hyperlink" Target="mailto:james.thomas@company.com" TargetMode="External"/><Relationship Id="rId4" Type="http://schemas.openxmlformats.org/officeDocument/2006/relationships/hyperlink" Target="mailto:emily.davis@company.com" TargetMode="External"/><Relationship Id="rId9" Type="http://schemas.openxmlformats.org/officeDocument/2006/relationships/hyperlink" Target="mailto:james.thomas@company.com" TargetMode="External"/><Relationship Id="rId14" Type="http://schemas.openxmlformats.org/officeDocument/2006/relationships/hyperlink" Target="mailto:emily.davis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6DEBE-98B4-4B69-A4F0-17E5071D0B6C}">
  <dimension ref="A1:J16"/>
  <sheetViews>
    <sheetView workbookViewId="0">
      <selection activeCell="K15" sqref="K15"/>
    </sheetView>
  </sheetViews>
  <sheetFormatPr defaultRowHeight="14.4" x14ac:dyDescent="0.3"/>
  <cols>
    <col min="1" max="1" width="5.33203125" bestFit="1" customWidth="1"/>
    <col min="2" max="2" width="15.88671875" bestFit="1" customWidth="1"/>
    <col min="3" max="3" width="13.44140625" bestFit="1" customWidth="1"/>
    <col min="4" max="4" width="30.6640625" bestFit="1" customWidth="1"/>
    <col min="8" max="8" width="11.6640625" bestFit="1" customWidth="1"/>
    <col min="9" max="9" width="25.5546875" customWidth="1"/>
    <col min="10" max="10" width="16.33203125" customWidth="1"/>
  </cols>
  <sheetData>
    <row r="1" spans="1:10" ht="21" x14ac:dyDescent="0.4">
      <c r="A1" s="3" t="s">
        <v>0</v>
      </c>
      <c r="B1" s="4" t="s">
        <v>1</v>
      </c>
      <c r="C1" s="4" t="s">
        <v>2</v>
      </c>
      <c r="D1" s="1" t="s">
        <v>3</v>
      </c>
      <c r="E1" s="5" t="s">
        <v>4</v>
      </c>
      <c r="H1" s="14" t="s">
        <v>55</v>
      </c>
      <c r="I1" s="15"/>
      <c r="J1" s="15"/>
    </row>
    <row r="2" spans="1:10" x14ac:dyDescent="0.3">
      <c r="A2" s="6">
        <v>1</v>
      </c>
      <c r="B2" s="7" t="s">
        <v>5</v>
      </c>
      <c r="C2" s="7" t="s">
        <v>6</v>
      </c>
      <c r="D2" s="8" t="s">
        <v>7</v>
      </c>
      <c r="E2" s="9" t="s">
        <v>8</v>
      </c>
      <c r="H2" s="2" t="s">
        <v>40</v>
      </c>
      <c r="I2" s="17" t="str">
        <f>LEFT(Table134[[#This Row],[Code]],2)</f>
        <v>MK</v>
      </c>
      <c r="J2" s="17" t="str">
        <f>LEFT(Table134[[#This Row],[Full Name]],4)</f>
        <v>John</v>
      </c>
    </row>
    <row r="3" spans="1:10" x14ac:dyDescent="0.3">
      <c r="A3" s="6">
        <v>2</v>
      </c>
      <c r="B3" s="7" t="s">
        <v>9</v>
      </c>
      <c r="C3" s="7" t="s">
        <v>10</v>
      </c>
      <c r="D3" s="8" t="s">
        <v>11</v>
      </c>
      <c r="E3" s="9" t="s">
        <v>12</v>
      </c>
      <c r="H3" s="2" t="s">
        <v>41</v>
      </c>
      <c r="I3" s="17" t="str">
        <f>RIGHT(E2,3)</f>
        <v>123</v>
      </c>
      <c r="J3" s="17" t="str">
        <f>RIGHT(B2,5)</f>
        <v>Smith</v>
      </c>
    </row>
    <row r="4" spans="1:10" x14ac:dyDescent="0.3">
      <c r="A4" s="6">
        <v>3</v>
      </c>
      <c r="B4" s="7" t="s">
        <v>13</v>
      </c>
      <c r="C4" s="7" t="s">
        <v>14</v>
      </c>
      <c r="D4" s="8" t="s">
        <v>15</v>
      </c>
      <c r="E4" s="9" t="s">
        <v>16</v>
      </c>
      <c r="H4" s="2" t="s">
        <v>42</v>
      </c>
      <c r="I4" s="17" t="str">
        <f>MID(Table134[[#This Row],[Email Address]],5,10)</f>
        <v>ael.brown@</v>
      </c>
      <c r="J4" s="17" t="str">
        <f>MID(C9,4,6)</f>
        <v>keting</v>
      </c>
    </row>
    <row r="5" spans="1:10" x14ac:dyDescent="0.3">
      <c r="A5" s="6">
        <v>4</v>
      </c>
      <c r="B5" s="7" t="s">
        <v>17</v>
      </c>
      <c r="C5" s="7" t="s">
        <v>18</v>
      </c>
      <c r="D5" s="8" t="s">
        <v>19</v>
      </c>
      <c r="E5" s="9" t="s">
        <v>20</v>
      </c>
      <c r="H5" s="2" t="s">
        <v>43</v>
      </c>
      <c r="I5" s="17">
        <f>LEN(E2)</f>
        <v>5</v>
      </c>
      <c r="J5" s="17">
        <f>LEN(D6)</f>
        <v>24</v>
      </c>
    </row>
    <row r="6" spans="1:10" x14ac:dyDescent="0.3">
      <c r="A6" s="6">
        <v>5</v>
      </c>
      <c r="B6" s="7" t="s">
        <v>21</v>
      </c>
      <c r="C6" s="7" t="s">
        <v>22</v>
      </c>
      <c r="D6" s="8" t="s">
        <v>23</v>
      </c>
      <c r="E6" s="9" t="s">
        <v>24</v>
      </c>
      <c r="H6" s="2" t="s">
        <v>44</v>
      </c>
      <c r="I6" s="17" t="str">
        <f>UPPER(B5)</f>
        <v>EMILY DAVIS</v>
      </c>
      <c r="J6" s="17" t="str">
        <f>UPPER(B4)</f>
        <v>MICHAEL BROWN</v>
      </c>
    </row>
    <row r="7" spans="1:10" x14ac:dyDescent="0.3">
      <c r="A7" s="6">
        <v>6</v>
      </c>
      <c r="B7" s="7" t="s">
        <v>25</v>
      </c>
      <c r="C7" s="7" t="s">
        <v>10</v>
      </c>
      <c r="D7" s="8" t="s">
        <v>26</v>
      </c>
      <c r="E7" s="9" t="s">
        <v>27</v>
      </c>
      <c r="H7" s="2" t="s">
        <v>45</v>
      </c>
      <c r="I7" s="17" t="str">
        <f>LOWER(B5)</f>
        <v>emily davis</v>
      </c>
      <c r="J7" s="17" t="str">
        <f>LOWER(B4)</f>
        <v>michael brown</v>
      </c>
    </row>
    <row r="8" spans="1:10" x14ac:dyDescent="0.3">
      <c r="A8" s="6">
        <v>7</v>
      </c>
      <c r="B8" s="7" t="s">
        <v>28</v>
      </c>
      <c r="C8" s="7" t="s">
        <v>18</v>
      </c>
      <c r="D8" s="8" t="s">
        <v>29</v>
      </c>
      <c r="E8" s="9" t="s">
        <v>30</v>
      </c>
      <c r="H8" s="2" t="s">
        <v>46</v>
      </c>
      <c r="I8" s="17" t="str">
        <f>PROPER(LOWER(B7))</f>
        <v>Laura Martinez</v>
      </c>
      <c r="J8" s="17" t="str">
        <f>PROPER(LOWER(B2))</f>
        <v>John Smith</v>
      </c>
    </row>
    <row r="9" spans="1:10" x14ac:dyDescent="0.3">
      <c r="A9" s="6">
        <v>8</v>
      </c>
      <c r="B9" s="7" t="s">
        <v>31</v>
      </c>
      <c r="C9" s="7" t="s">
        <v>6</v>
      </c>
      <c r="D9" s="8" t="s">
        <v>32</v>
      </c>
      <c r="E9" s="9" t="s">
        <v>33</v>
      </c>
      <c r="H9" s="2" t="s">
        <v>47</v>
      </c>
      <c r="I9" s="17" t="str">
        <f>_xlfn.CONCAT(B2," - ",C2)</f>
        <v>John Smith - Marketing</v>
      </c>
      <c r="J9" s="17" t="str">
        <f>_xlfn.CONCAT(B8," - ",C8)</f>
        <v>Robert Taylor - IT</v>
      </c>
    </row>
    <row r="10" spans="1:10" x14ac:dyDescent="0.3">
      <c r="A10" s="6">
        <v>9</v>
      </c>
      <c r="B10" s="7" t="s">
        <v>34</v>
      </c>
      <c r="C10" s="7" t="s">
        <v>14</v>
      </c>
      <c r="D10" s="8" t="s">
        <v>35</v>
      </c>
      <c r="E10" s="9" t="s">
        <v>36</v>
      </c>
      <c r="H10" s="2" t="s">
        <v>48</v>
      </c>
      <c r="I10" s="17" t="str">
        <f>_xlfn.TEXTJOIN(" - ",TRUE,B2,C2)</f>
        <v>John Smith - Marketing</v>
      </c>
      <c r="J10" s="17" t="str">
        <f>_xlfn.TEXTJOIN(" - ",TRUE,B8,C8)</f>
        <v>Robert Taylor - IT</v>
      </c>
    </row>
    <row r="11" spans="1:10" x14ac:dyDescent="0.3">
      <c r="A11" s="10">
        <v>10</v>
      </c>
      <c r="B11" s="11" t="s">
        <v>37</v>
      </c>
      <c r="C11" s="11" t="s">
        <v>22</v>
      </c>
      <c r="D11" s="12" t="s">
        <v>38</v>
      </c>
      <c r="E11" s="13" t="s">
        <v>39</v>
      </c>
      <c r="H11" s="2" t="s">
        <v>49</v>
      </c>
      <c r="I11" s="17">
        <f>FIND("@",Table134[[#This Row],[Email Address]])</f>
        <v>16</v>
      </c>
      <c r="J11" s="17">
        <f>FIND("W",B6)</f>
        <v>7</v>
      </c>
    </row>
    <row r="12" spans="1:10" x14ac:dyDescent="0.3">
      <c r="H12" s="2" t="s">
        <v>50</v>
      </c>
      <c r="I12" s="17">
        <f>SEARCH("company",D10)</f>
        <v>14</v>
      </c>
      <c r="J12" s="17">
        <f>SEARCH("company",D11)</f>
        <v>17</v>
      </c>
    </row>
    <row r="13" spans="1:10" x14ac:dyDescent="0.3">
      <c r="H13" s="2" t="s">
        <v>51</v>
      </c>
      <c r="I13" s="17" t="str">
        <f>REPLACE(B2,6,5,"Mohamed")</f>
        <v>John Mohamed</v>
      </c>
      <c r="J13" s="17" t="str">
        <f>REPLACE(B6,7,6,"Messi")</f>
        <v>David Messi</v>
      </c>
    </row>
    <row r="14" spans="1:10" x14ac:dyDescent="0.3">
      <c r="H14" s="2" t="s">
        <v>52</v>
      </c>
      <c r="I14" s="17" t="str">
        <f>SUBSTITUTE(D11,"company","gmail")</f>
        <v>barbara.jackson@gmail.com</v>
      </c>
      <c r="J14" s="17" t="str">
        <f>SUBSTITUTE(B6,"Wilson","Messi")</f>
        <v>David Messi</v>
      </c>
    </row>
    <row r="15" spans="1:10" x14ac:dyDescent="0.3">
      <c r="H15" s="2" t="s">
        <v>53</v>
      </c>
      <c r="I15" s="18" t="str">
        <f>TRIM(C9)</f>
        <v>Marketing</v>
      </c>
      <c r="J15" s="17" t="str">
        <f>TRIM(B7)</f>
        <v>Laura Martinez</v>
      </c>
    </row>
    <row r="16" spans="1:10" x14ac:dyDescent="0.3">
      <c r="H16" s="2" t="s">
        <v>54</v>
      </c>
      <c r="I16" s="17" t="str">
        <f>TRIM(RIGHT(E11,3))</f>
        <v>369</v>
      </c>
      <c r="J16" s="17">
        <f>VALUE(RIGHT(E7,3))</f>
        <v>852</v>
      </c>
    </row>
  </sheetData>
  <mergeCells count="1">
    <mergeCell ref="H1:J1"/>
  </mergeCells>
  <hyperlinks>
    <hyperlink ref="D2" r:id="rId1" display="mailto:john.smith@company.com" xr:uid="{8A430506-7B41-463A-9C87-8E10ABDB58D1}"/>
    <hyperlink ref="D3" r:id="rId2" display="mailto:sarah.johnson@company.com" xr:uid="{7E43D464-5CF3-47E0-9237-40FC2E7937C8}"/>
    <hyperlink ref="D4" r:id="rId3" display="mailto:michael.brown@company.com" xr:uid="{8DA34683-7E9A-490E-A346-6F1489547876}"/>
    <hyperlink ref="D5" r:id="rId4" display="mailto:emily.davis@company.com" xr:uid="{43D56D76-E3C1-4B72-8116-0C0CA1A497A2}"/>
    <hyperlink ref="D8" r:id="rId5" display="mailto:robert.taylor@company.com" xr:uid="{93556BF1-F16F-467F-AE40-0F5E4FFB7B0F}"/>
    <hyperlink ref="D7" r:id="rId6" display="mailto:laura.martinez@company.com" xr:uid="{BCFBCE27-BC6A-4BE1-8D62-27771F22811D}"/>
    <hyperlink ref="D6" r:id="rId7" display="mailto:david.wilson@company.com" xr:uid="{852D6721-DCE4-4B1C-8728-A7703EE3908E}"/>
    <hyperlink ref="D11" r:id="rId8" display="mailto:barbara.jackson@company.com" xr:uid="{05B140C2-CA5C-40B6-A7F3-89B21CB9EC25}"/>
    <hyperlink ref="D10" r:id="rId9" display="mailto:james.thomas@company.com" xr:uid="{A2672668-1E86-43A0-92A3-A3378F938BA6}"/>
    <hyperlink ref="D9" r:id="rId10" display="mailto:linda.anderson@company.com" xr:uid="{8F13BBA7-E12F-4CD9-8AB1-CB869E95778E}"/>
  </hyperlinks>
  <pageMargins left="0.7" right="0.7" top="0.75" bottom="0.75" header="0.3" footer="0.3"/>
  <tableParts count="1"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D829C-2349-41A6-B7CD-20C0D8A5C460}">
  <dimension ref="A1:H26"/>
  <sheetViews>
    <sheetView tabSelected="1" topLeftCell="A9" zoomScale="115" zoomScaleNormal="115" workbookViewId="0">
      <selection activeCell="F26" sqref="F26"/>
    </sheetView>
  </sheetViews>
  <sheetFormatPr defaultRowHeight="14.4" x14ac:dyDescent="0.3"/>
  <cols>
    <col min="1" max="1" width="5.33203125" bestFit="1" customWidth="1"/>
    <col min="2" max="2" width="25.6640625" customWidth="1"/>
    <col min="3" max="3" width="11.109375" bestFit="1" customWidth="1"/>
    <col min="4" max="4" width="30.6640625" bestFit="1" customWidth="1"/>
    <col min="6" max="6" width="18.5546875" customWidth="1"/>
    <col min="7" max="7" width="17.44140625" customWidth="1"/>
    <col min="8" max="8" width="11.44140625" customWidth="1"/>
    <col min="10" max="10" width="9.33203125" customWidth="1"/>
  </cols>
  <sheetData>
    <row r="1" spans="1:8" x14ac:dyDescent="0.3">
      <c r="A1" s="3" t="s">
        <v>0</v>
      </c>
      <c r="B1" s="4" t="s">
        <v>1</v>
      </c>
      <c r="C1" s="4" t="s">
        <v>2</v>
      </c>
      <c r="D1" s="1" t="s">
        <v>3</v>
      </c>
      <c r="E1" s="5" t="s">
        <v>4</v>
      </c>
      <c r="F1" s="4" t="s">
        <v>56</v>
      </c>
    </row>
    <row r="2" spans="1:8" x14ac:dyDescent="0.3">
      <c r="A2" s="6">
        <v>1</v>
      </c>
      <c r="B2" s="7" t="s">
        <v>5</v>
      </c>
      <c r="C2" s="7" t="s">
        <v>6</v>
      </c>
      <c r="D2" s="8" t="s">
        <v>7</v>
      </c>
      <c r="E2" s="9" t="s">
        <v>8</v>
      </c>
      <c r="F2" s="19" t="str">
        <f>IF(Table13[[#This Row],[Department]]="HR","Human Resources","Others")</f>
        <v>Others</v>
      </c>
    </row>
    <row r="3" spans="1:8" ht="19.5" customHeight="1" x14ac:dyDescent="0.3">
      <c r="A3" s="6">
        <v>2</v>
      </c>
      <c r="B3" s="7" t="s">
        <v>9</v>
      </c>
      <c r="C3" s="7" t="s">
        <v>10</v>
      </c>
      <c r="D3" s="8" t="s">
        <v>11</v>
      </c>
      <c r="E3" s="9" t="s">
        <v>12</v>
      </c>
      <c r="F3" s="19" t="str">
        <f>IF(Table13[[#This Row],[Department]]="HR","Human Resources","Others")</f>
        <v>Human Resources</v>
      </c>
    </row>
    <row r="4" spans="1:8" x14ac:dyDescent="0.3">
      <c r="A4" s="6">
        <v>3</v>
      </c>
      <c r="B4" s="7" t="s">
        <v>13</v>
      </c>
      <c r="C4" s="7" t="s">
        <v>14</v>
      </c>
      <c r="D4" s="8" t="s">
        <v>15</v>
      </c>
      <c r="E4" s="9" t="s">
        <v>16</v>
      </c>
      <c r="F4" s="19" t="str">
        <f>IF(Table13[[#This Row],[Department]]="HR","Human Resources","Others")</f>
        <v>Others</v>
      </c>
    </row>
    <row r="5" spans="1:8" x14ac:dyDescent="0.3">
      <c r="A5" s="6">
        <v>4</v>
      </c>
      <c r="B5" s="7" t="s">
        <v>17</v>
      </c>
      <c r="C5" s="7" t="s">
        <v>18</v>
      </c>
      <c r="D5" s="8" t="s">
        <v>19</v>
      </c>
      <c r="E5" s="9" t="s">
        <v>20</v>
      </c>
      <c r="F5" s="19" t="str">
        <f>IF(Table13[[#This Row],[Department]]="HR","Human Resources","Others")</f>
        <v>Others</v>
      </c>
    </row>
    <row r="6" spans="1:8" x14ac:dyDescent="0.3">
      <c r="A6" s="6">
        <v>5</v>
      </c>
      <c r="B6" s="7" t="s">
        <v>21</v>
      </c>
      <c r="C6" s="7" t="s">
        <v>22</v>
      </c>
      <c r="D6" s="8" t="s">
        <v>23</v>
      </c>
      <c r="E6" s="9" t="s">
        <v>24</v>
      </c>
      <c r="F6" s="19" t="str">
        <f>IF(Table13[[#This Row],[Department]]="HR","Human Resources","Others")</f>
        <v>Others</v>
      </c>
    </row>
    <row r="7" spans="1:8" x14ac:dyDescent="0.3">
      <c r="A7" s="6">
        <v>6</v>
      </c>
      <c r="B7" s="7" t="s">
        <v>25</v>
      </c>
      <c r="C7" s="7" t="s">
        <v>10</v>
      </c>
      <c r="D7" s="8" t="s">
        <v>26</v>
      </c>
      <c r="E7" s="9" t="s">
        <v>27</v>
      </c>
      <c r="F7" s="19" t="str">
        <f>IF(Table13[[#This Row],[Department]]="HR","Human Resources","Others")</f>
        <v>Human Resources</v>
      </c>
    </row>
    <row r="8" spans="1:8" x14ac:dyDescent="0.3">
      <c r="A8" s="6">
        <v>7</v>
      </c>
      <c r="B8" s="7" t="s">
        <v>28</v>
      </c>
      <c r="C8" s="7" t="s">
        <v>18</v>
      </c>
      <c r="D8" s="8" t="s">
        <v>29</v>
      </c>
      <c r="E8" s="9" t="s">
        <v>30</v>
      </c>
      <c r="F8" s="19" t="str">
        <f>IF(Table13[[#This Row],[Department]]="HR","Human Resources","Others")</f>
        <v>Others</v>
      </c>
    </row>
    <row r="9" spans="1:8" x14ac:dyDescent="0.3">
      <c r="A9" s="6">
        <v>8</v>
      </c>
      <c r="B9" s="7" t="s">
        <v>31</v>
      </c>
      <c r="C9" s="7" t="s">
        <v>6</v>
      </c>
      <c r="D9" s="8" t="s">
        <v>32</v>
      </c>
      <c r="E9" s="9" t="s">
        <v>33</v>
      </c>
      <c r="F9" s="19" t="str">
        <f>IF(Table13[[#This Row],[Department]]="HR","Human Resources","Others")</f>
        <v>Others</v>
      </c>
    </row>
    <row r="10" spans="1:8" x14ac:dyDescent="0.3">
      <c r="A10" s="6">
        <v>9</v>
      </c>
      <c r="B10" s="7" t="s">
        <v>34</v>
      </c>
      <c r="C10" s="7" t="s">
        <v>14</v>
      </c>
      <c r="D10" s="8" t="s">
        <v>35</v>
      </c>
      <c r="E10" s="9" t="s">
        <v>36</v>
      </c>
      <c r="F10" s="19" t="str">
        <f>IF(Table13[[#This Row],[Department]]="HR","Human Resources","Others")</f>
        <v>Others</v>
      </c>
    </row>
    <row r="11" spans="1:8" x14ac:dyDescent="0.3">
      <c r="A11" s="10">
        <v>10</v>
      </c>
      <c r="B11" s="11" t="s">
        <v>37</v>
      </c>
      <c r="C11" s="11" t="s">
        <v>22</v>
      </c>
      <c r="D11" s="12" t="s">
        <v>38</v>
      </c>
      <c r="E11" s="13" t="s">
        <v>39</v>
      </c>
      <c r="F11" s="19" t="str">
        <f>IF(Table13[[#This Row],[Department]]="HR","Human Resources","Others")</f>
        <v>Others</v>
      </c>
    </row>
    <row r="16" spans="1:8" x14ac:dyDescent="0.3">
      <c r="A16" s="20" t="s">
        <v>0</v>
      </c>
      <c r="B16" s="20" t="s">
        <v>1</v>
      </c>
      <c r="C16" s="20" t="s">
        <v>2</v>
      </c>
      <c r="D16" s="21" t="s">
        <v>3</v>
      </c>
      <c r="E16" s="22" t="s">
        <v>4</v>
      </c>
      <c r="G16" s="22" t="s">
        <v>60</v>
      </c>
      <c r="H16" s="22" t="s">
        <v>60</v>
      </c>
    </row>
    <row r="17" spans="1:8" x14ac:dyDescent="0.3">
      <c r="A17" s="7">
        <v>1</v>
      </c>
      <c r="B17" s="7" t="s">
        <v>5</v>
      </c>
      <c r="C17" s="7" t="s">
        <v>57</v>
      </c>
      <c r="D17" s="8" t="s">
        <v>7</v>
      </c>
      <c r="E17" s="9" t="s">
        <v>8</v>
      </c>
      <c r="G17" s="16" t="str" cm="1">
        <f t="array" ref="G17">_xlfn.IFS(C17="Mg","Marketing",C17="HR","Human Resource",C17="Fc","Finance",C17="Ss","Sales",C17 ="IT","IT")</f>
        <v>Marketing</v>
      </c>
      <c r="H17" s="16" t="str">
        <f>IF(LEFT(E17,2)="MK","Marketing","Invalid")</f>
        <v>Marketing</v>
      </c>
    </row>
    <row r="18" spans="1:8" x14ac:dyDescent="0.3">
      <c r="A18" s="7">
        <v>2</v>
      </c>
      <c r="B18" s="7" t="s">
        <v>9</v>
      </c>
      <c r="C18" s="7" t="s">
        <v>10</v>
      </c>
      <c r="D18" s="8" t="s">
        <v>11</v>
      </c>
      <c r="E18" s="9" t="s">
        <v>12</v>
      </c>
      <c r="G18" s="16" t="str" cm="1">
        <f t="array" ref="G18">_xlfn.IFS(C18="Mg","Marketing",C18="HR","Human Resource",C18="Fc","Finance",C18="Ss","Sales",C18 ="IT","IT")</f>
        <v>Human Resource</v>
      </c>
      <c r="H18" s="16" t="str">
        <f t="shared" ref="H18:H26" si="0">IF(LEFT(E18,2)="MK","Marketing","Invalid")</f>
        <v>Invalid</v>
      </c>
    </row>
    <row r="19" spans="1:8" x14ac:dyDescent="0.3">
      <c r="A19" s="7">
        <v>3</v>
      </c>
      <c r="B19" s="7" t="s">
        <v>13</v>
      </c>
      <c r="C19" s="7" t="s">
        <v>58</v>
      </c>
      <c r="D19" s="8" t="s">
        <v>15</v>
      </c>
      <c r="E19" s="9" t="s">
        <v>16</v>
      </c>
      <c r="G19" s="16" t="str" cm="1">
        <f t="array" ref="G19">_xlfn.IFS(C19="Mg","Marketing",C19="HR","Human Resource",C19="Fc","Finance",C19="Ss","Sales",C19 ="IT","IT")</f>
        <v>Finance</v>
      </c>
      <c r="H19" s="16" t="str">
        <f t="shared" si="0"/>
        <v>Invalid</v>
      </c>
    </row>
    <row r="20" spans="1:8" x14ac:dyDescent="0.3">
      <c r="A20" s="7">
        <v>4</v>
      </c>
      <c r="B20" s="7" t="s">
        <v>17</v>
      </c>
      <c r="C20" s="7" t="s">
        <v>18</v>
      </c>
      <c r="D20" s="8" t="s">
        <v>19</v>
      </c>
      <c r="E20" s="9" t="s">
        <v>20</v>
      </c>
      <c r="G20" s="16" t="str" cm="1">
        <f t="array" ref="G20">_xlfn.IFS(C20="Mg","Marketing",C20="HR","Human Resource",C20="Fc","Finance",C20="Ss","Sales",C20 ="IT","IT")</f>
        <v>IT</v>
      </c>
      <c r="H20" s="16" t="str">
        <f t="shared" si="0"/>
        <v>Invalid</v>
      </c>
    </row>
    <row r="21" spans="1:8" x14ac:dyDescent="0.3">
      <c r="A21" s="7">
        <v>5</v>
      </c>
      <c r="B21" s="7" t="s">
        <v>21</v>
      </c>
      <c r="C21" s="7" t="s">
        <v>59</v>
      </c>
      <c r="D21" s="8" t="s">
        <v>23</v>
      </c>
      <c r="E21" s="9" t="s">
        <v>24</v>
      </c>
      <c r="G21" s="16" t="str" cm="1">
        <f t="array" ref="G21">_xlfn.IFS(C21="Mg","Marketing",C21="HR","Human Resource",C21="Fc","Finance",C21="Ss","Sales",C21 ="IT","IT")</f>
        <v>Sales</v>
      </c>
      <c r="H21" s="16" t="str">
        <f t="shared" si="0"/>
        <v>Invalid</v>
      </c>
    </row>
    <row r="22" spans="1:8" x14ac:dyDescent="0.3">
      <c r="A22" s="7">
        <v>6</v>
      </c>
      <c r="B22" s="7" t="s">
        <v>25</v>
      </c>
      <c r="C22" s="7" t="s">
        <v>10</v>
      </c>
      <c r="D22" s="8" t="s">
        <v>26</v>
      </c>
      <c r="E22" s="9" t="s">
        <v>27</v>
      </c>
      <c r="G22" s="16" t="str" cm="1">
        <f t="array" ref="G22">_xlfn.IFS(C22="Mg","Marketing",C22="HR","Human Resource",C22="Fc","Finance",C22="Ss","Sales",C22 ="IT","IT")</f>
        <v>Human Resource</v>
      </c>
      <c r="H22" s="16" t="str">
        <f t="shared" si="0"/>
        <v>Invalid</v>
      </c>
    </row>
    <row r="23" spans="1:8" x14ac:dyDescent="0.3">
      <c r="A23" s="7">
        <v>7</v>
      </c>
      <c r="B23" s="7" t="s">
        <v>28</v>
      </c>
      <c r="C23" s="7" t="s">
        <v>18</v>
      </c>
      <c r="D23" s="8" t="s">
        <v>29</v>
      </c>
      <c r="E23" s="9" t="s">
        <v>30</v>
      </c>
      <c r="G23" s="16" t="str" cm="1">
        <f t="array" ref="G23">_xlfn.IFS(C23="Mg","Marketing",C23="HR","Human Resource",C23="Fc","Finance",C23="Ss","Sales",C23 ="IT","IT")</f>
        <v>IT</v>
      </c>
      <c r="H23" s="16" t="str">
        <f t="shared" si="0"/>
        <v>Invalid</v>
      </c>
    </row>
    <row r="24" spans="1:8" x14ac:dyDescent="0.3">
      <c r="A24" s="7">
        <v>8</v>
      </c>
      <c r="B24" s="7" t="s">
        <v>31</v>
      </c>
      <c r="C24" s="7" t="s">
        <v>57</v>
      </c>
      <c r="D24" s="8" t="s">
        <v>32</v>
      </c>
      <c r="E24" s="9" t="s">
        <v>33</v>
      </c>
      <c r="G24" s="16" t="str" cm="1">
        <f t="array" ref="G24">_xlfn.IFS(C24="Mg","Marketing",C24="HR","Human Resource",C24="Fc","Finance",C24="Ss","Sales",C24 ="IT","IT")</f>
        <v>Marketing</v>
      </c>
      <c r="H24" s="16" t="str">
        <f t="shared" si="0"/>
        <v>Marketing</v>
      </c>
    </row>
    <row r="25" spans="1:8" x14ac:dyDescent="0.3">
      <c r="A25" s="7">
        <v>9</v>
      </c>
      <c r="B25" s="7" t="s">
        <v>34</v>
      </c>
      <c r="C25" s="7" t="s">
        <v>58</v>
      </c>
      <c r="D25" s="8" t="s">
        <v>35</v>
      </c>
      <c r="E25" s="9" t="s">
        <v>36</v>
      </c>
      <c r="G25" s="16" t="str" cm="1">
        <f t="array" ref="G25">_xlfn.IFS(C25="Mg","Marketing",C25="HR","Human Resource",C25="Fc","Finance",C25="Ss","Sales",C25 ="IT","IT")</f>
        <v>Finance</v>
      </c>
      <c r="H25" s="16" t="str">
        <f t="shared" si="0"/>
        <v>Invalid</v>
      </c>
    </row>
    <row r="26" spans="1:8" x14ac:dyDescent="0.3">
      <c r="A26" s="7">
        <v>10</v>
      </c>
      <c r="B26" s="7" t="s">
        <v>37</v>
      </c>
      <c r="C26" s="7" t="s">
        <v>59</v>
      </c>
      <c r="D26" s="8" t="s">
        <v>38</v>
      </c>
      <c r="E26" s="9" t="s">
        <v>39</v>
      </c>
      <c r="G26" s="16" t="str" cm="1">
        <f t="array" ref="G26">_xlfn.IFS(C26="Mg","Marketing",C26="HR","Human Resource",C26="Fc","Finance",C26="Ss","Sales",C26 ="IT","IT")</f>
        <v>Sales</v>
      </c>
      <c r="H26" s="16" t="str">
        <f t="shared" si="0"/>
        <v>Invalid</v>
      </c>
    </row>
  </sheetData>
  <hyperlinks>
    <hyperlink ref="D2" r:id="rId1" display="mailto:john.smith@company.com" xr:uid="{8B069605-06B5-445F-B487-D3FB8FC688A9}"/>
    <hyperlink ref="D3" r:id="rId2" display="mailto:sarah.johnson@company.com" xr:uid="{587D5E6F-DACC-4D48-8D68-B8DF28BF4381}"/>
    <hyperlink ref="D4" r:id="rId3" display="mailto:michael.brown@company.com" xr:uid="{06E45E88-4D21-4678-BF28-22EB07F4194B}"/>
    <hyperlink ref="D5" r:id="rId4" display="mailto:emily.davis@company.com" xr:uid="{AD4197EF-9EEC-40C3-855A-D5D8EAD4F7D2}"/>
    <hyperlink ref="D8" r:id="rId5" display="mailto:robert.taylor@company.com" xr:uid="{F9E0B058-19A4-469F-AFBA-1DFB36C8F52D}"/>
    <hyperlink ref="D7" r:id="rId6" display="mailto:laura.martinez@company.com" xr:uid="{6A904359-0842-4A2C-A904-CE2D71262873}"/>
    <hyperlink ref="D6" r:id="rId7" display="mailto:david.wilson@company.com" xr:uid="{21FF3BBB-D3AF-4541-BA5D-A89A424B6548}"/>
    <hyperlink ref="D11" r:id="rId8" display="mailto:barbara.jackson@company.com" xr:uid="{366265D7-D95A-4D38-9C01-1AF5878C77C8}"/>
    <hyperlink ref="D10" r:id="rId9" display="mailto:james.thomas@company.com" xr:uid="{A03FABAC-5F37-43AE-AFD5-89AE88A4B577}"/>
    <hyperlink ref="D9" r:id="rId10" display="mailto:linda.anderson@company.com" xr:uid="{91B624FC-8181-4687-9FD5-BEF0B2C1250C}"/>
    <hyperlink ref="D17" r:id="rId11" display="mailto:john.smith@company.com" xr:uid="{56B8929D-066D-4AB4-8240-24A62DA9C7E5}"/>
    <hyperlink ref="D18" r:id="rId12" display="mailto:sarah.johnson@company.com" xr:uid="{8CE28476-B1C6-438A-9DDE-1D8370518163}"/>
    <hyperlink ref="D19" r:id="rId13" display="mailto:michael.brown@company.com" xr:uid="{96CCD0E4-3A16-4B69-85DB-C354E6AA17FB}"/>
    <hyperlink ref="D20" r:id="rId14" display="mailto:emily.davis@company.com" xr:uid="{236F06AD-30D8-408E-AF71-44396329847B}"/>
    <hyperlink ref="D23" r:id="rId15" display="mailto:robert.taylor@company.com" xr:uid="{EF45E676-0773-4C70-83EB-DFF29A467A0F}"/>
    <hyperlink ref="D22" r:id="rId16" display="mailto:laura.martinez@company.com" xr:uid="{485580B9-00AD-49EF-868C-CD4CAD5619B1}"/>
    <hyperlink ref="D21" r:id="rId17" display="mailto:david.wilson@company.com" xr:uid="{FC8472AC-AEF8-48B8-84E5-950B839EEB86}"/>
    <hyperlink ref="D26" r:id="rId18" display="mailto:barbara.jackson@company.com" xr:uid="{E1C75128-0925-4DF7-8DEB-A6E84C7A109A}"/>
    <hyperlink ref="D25" r:id="rId19" display="mailto:james.thomas@company.com" xr:uid="{AE7074DD-7DB7-4B48-9B64-30A32F14F7AA}"/>
    <hyperlink ref="D24" r:id="rId20" display="mailto:linda.anderson@company.com" xr:uid="{6514B10F-EB87-4201-B214-8199DD373D5B}"/>
  </hyperlinks>
  <pageMargins left="0.7" right="0.7" top="0.75" bottom="0.75" header="0.3" footer="0.3"/>
  <tableParts count="1">
    <tablePart r:id="rId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Text Functions</vt:lpstr>
      <vt:lpstr>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Elbadry</dc:creator>
  <cp:lastModifiedBy>Mohamed Reda</cp:lastModifiedBy>
  <dcterms:created xsi:type="dcterms:W3CDTF">2025-11-02T14:29:18Z</dcterms:created>
  <dcterms:modified xsi:type="dcterms:W3CDTF">2026-02-03T11:11:10Z</dcterms:modified>
</cp:coreProperties>
</file>